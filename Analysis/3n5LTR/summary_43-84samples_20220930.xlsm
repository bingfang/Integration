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11"/>
  <workbookPr defaultThemeVersion="166925"/>
  <mc:AlternateContent xmlns:mc="http://schemas.openxmlformats.org/markup-compatibility/2006">
    <mc:Choice Requires="x15">
      <x15ac:absPath xmlns:x15ac="http://schemas.microsoft.com/office/spreadsheetml/2010/11/ac" url="/Volumes/T7/202003_Ras/data_analysis/Integration_SyncV_20220309/20220928_P2_42samples/Analysis/3n5LTR/"/>
    </mc:Choice>
  </mc:AlternateContent>
  <xr:revisionPtr revIDLastSave="0" documentId="13_ncr:40009_{0BBD055E-A604-EC4D-80E3-F8A4A8642567}" xr6:coauthVersionLast="47" xr6:coauthVersionMax="47" xr10:uidLastSave="{00000000-0000-0000-0000-000000000000}"/>
  <bookViews>
    <workbookView xWindow="41780" yWindow="5300" windowWidth="27640" windowHeight="16940" activeTab="1"/>
  </bookViews>
  <sheets>
    <sheet name="Results" sheetId="1" r:id="rId1"/>
    <sheet name="LTR" sheetId="3" r:id="rId2"/>
    <sheet name="by reads" sheetId="2" r:id="rId3"/>
    <sheet name="by count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124" i="4" l="1"/>
  <c r="AY123" i="4"/>
  <c r="AY122" i="4"/>
  <c r="AY121" i="4"/>
  <c r="AY120" i="4"/>
  <c r="AY119" i="4"/>
  <c r="AY118" i="4"/>
  <c r="AY117" i="4"/>
  <c r="AY116" i="4"/>
  <c r="AY115" i="4"/>
  <c r="AY114" i="4"/>
  <c r="AY113" i="4"/>
  <c r="AY112" i="4"/>
  <c r="AY111" i="4"/>
  <c r="AY110" i="4"/>
  <c r="AY109" i="4"/>
  <c r="AY108" i="4"/>
  <c r="AY107" i="4"/>
  <c r="AY106" i="4"/>
  <c r="AY105" i="4"/>
  <c r="AY104" i="4"/>
  <c r="AY103" i="4"/>
  <c r="AY102" i="4"/>
  <c r="AY101" i="4"/>
  <c r="AY100" i="4"/>
  <c r="AY99" i="4"/>
  <c r="AY98" i="4"/>
  <c r="AY97" i="4"/>
  <c r="AY96" i="4"/>
  <c r="AY95" i="4"/>
  <c r="AY94" i="4"/>
  <c r="AY93" i="4"/>
  <c r="AY92" i="4"/>
  <c r="AY91" i="4"/>
  <c r="AY90" i="4"/>
  <c r="AY89" i="4"/>
  <c r="AY88" i="4"/>
  <c r="AY87" i="4"/>
  <c r="AY86" i="4"/>
  <c r="AY85" i="4"/>
  <c r="AY84" i="4"/>
  <c r="AY83" i="4"/>
  <c r="AY82" i="4"/>
  <c r="AY81" i="4"/>
  <c r="AY80" i="4"/>
  <c r="AY79" i="4"/>
  <c r="AY78" i="4"/>
  <c r="AY77" i="4"/>
  <c r="AY76" i="4"/>
  <c r="AY75" i="4"/>
  <c r="AY74" i="4"/>
  <c r="AY73" i="4"/>
  <c r="AY72" i="4"/>
  <c r="AY71" i="4"/>
  <c r="AY70" i="4"/>
  <c r="AY69" i="4"/>
  <c r="AY68" i="4"/>
  <c r="AY67" i="4"/>
  <c r="AY66" i="4"/>
  <c r="AY65" i="4"/>
  <c r="AY64" i="4"/>
  <c r="AY63" i="4"/>
  <c r="AY62" i="4"/>
  <c r="AY61" i="4"/>
  <c r="AY60" i="4"/>
  <c r="AY59" i="4"/>
  <c r="AY58" i="4"/>
  <c r="AY57" i="4"/>
  <c r="AY56" i="4"/>
  <c r="AY55" i="4"/>
  <c r="AY54" i="4"/>
  <c r="AY53" i="4"/>
  <c r="AY52" i="4"/>
  <c r="AY51" i="4"/>
  <c r="AY50" i="4"/>
  <c r="AY49" i="4"/>
  <c r="AY48" i="4"/>
  <c r="AY47" i="4"/>
  <c r="AY46" i="4"/>
  <c r="AY45" i="4"/>
  <c r="AY44" i="4"/>
  <c r="AY43" i="4"/>
  <c r="AY42" i="4"/>
  <c r="AY41" i="4"/>
  <c r="AY40" i="4"/>
  <c r="AY39" i="4"/>
  <c r="AY38" i="4"/>
  <c r="AY37" i="4"/>
  <c r="AY36" i="4"/>
  <c r="AY35" i="4"/>
  <c r="AY34" i="4"/>
  <c r="AY33" i="4"/>
  <c r="AY32" i="4"/>
  <c r="AY31" i="4"/>
  <c r="AY30" i="4"/>
  <c r="AY29" i="4"/>
  <c r="AY28" i="4"/>
  <c r="AY27" i="4"/>
  <c r="AY26" i="4"/>
  <c r="AY25" i="4"/>
  <c r="AY24" i="4"/>
  <c r="AY23" i="4"/>
  <c r="AY22" i="4"/>
  <c r="AY21" i="4"/>
  <c r="AY20" i="4"/>
  <c r="AY19" i="4"/>
  <c r="AY18" i="4"/>
  <c r="AY17" i="4"/>
  <c r="AY16" i="4"/>
  <c r="AY15" i="4"/>
  <c r="AY14" i="4"/>
  <c r="AY13" i="4"/>
  <c r="AY12" i="4"/>
  <c r="AY11" i="4"/>
  <c r="AY10" i="4"/>
  <c r="AY9" i="4"/>
  <c r="AY8" i="4"/>
  <c r="AY7" i="4"/>
  <c r="AY6" i="4"/>
  <c r="AY5" i="4"/>
  <c r="AY4" i="4"/>
  <c r="AY3" i="4"/>
  <c r="AY2" i="4"/>
  <c r="AY124" i="2" l="1"/>
  <c r="AY123" i="2"/>
  <c r="AY122" i="2"/>
  <c r="AY121" i="2"/>
  <c r="AY120" i="2"/>
  <c r="AY119" i="2"/>
  <c r="AY22" i="2"/>
  <c r="AY118" i="2"/>
  <c r="AY117" i="2"/>
  <c r="AY61" i="2"/>
  <c r="AY116" i="2"/>
  <c r="AY15" i="2"/>
  <c r="AY34" i="2"/>
  <c r="AY115" i="2"/>
  <c r="AY114" i="2"/>
  <c r="AY113" i="2"/>
  <c r="AY112" i="2"/>
  <c r="AY111" i="2"/>
  <c r="AY12" i="2"/>
  <c r="AY110" i="2"/>
  <c r="AY109" i="2"/>
  <c r="AY108" i="2"/>
  <c r="AY107" i="2"/>
  <c r="AY106" i="2"/>
  <c r="AY105" i="2"/>
  <c r="AY104" i="2"/>
  <c r="AY103" i="2"/>
  <c r="AY102" i="2"/>
  <c r="AY101" i="2"/>
  <c r="AY39" i="2"/>
  <c r="AY100" i="2"/>
  <c r="AY99" i="2"/>
  <c r="AY98" i="2"/>
  <c r="AY97" i="2"/>
  <c r="AY31" i="2"/>
  <c r="AY20" i="2"/>
  <c r="AY3" i="2"/>
  <c r="AY7" i="2"/>
  <c r="AY96" i="2"/>
  <c r="AY21" i="2"/>
  <c r="AY30" i="2"/>
  <c r="AY95" i="2"/>
  <c r="AY19" i="2"/>
  <c r="AY94" i="2"/>
  <c r="AY6" i="2"/>
  <c r="AY93" i="2"/>
  <c r="AY92" i="2"/>
  <c r="AY8" i="2"/>
  <c r="AY9" i="2"/>
  <c r="AY91" i="2"/>
  <c r="AY10" i="2"/>
  <c r="AY11" i="2"/>
  <c r="AY90" i="2"/>
  <c r="AY89" i="2"/>
  <c r="AY88" i="2"/>
  <c r="AY87" i="2"/>
  <c r="AY86" i="2"/>
  <c r="AY35" i="2"/>
  <c r="AY85" i="2"/>
  <c r="AY28" i="2"/>
  <c r="AY33" i="2"/>
  <c r="AY53" i="2"/>
  <c r="AY37" i="2"/>
  <c r="AY27" i="2"/>
  <c r="AY26" i="2"/>
  <c r="AY25" i="2"/>
  <c r="AY24" i="2"/>
  <c r="AY29" i="2"/>
  <c r="AY32" i="2"/>
  <c r="AY84" i="2"/>
  <c r="AY83" i="2"/>
  <c r="AY38" i="2"/>
  <c r="AY2" i="2"/>
  <c r="AY60" i="2"/>
  <c r="AY36" i="2"/>
  <c r="AY40" i="2"/>
  <c r="AY49" i="2"/>
  <c r="AY82" i="2"/>
  <c r="AY81" i="2"/>
  <c r="AY80" i="2"/>
  <c r="AY52" i="2"/>
  <c r="AY45" i="2"/>
  <c r="AY58" i="2"/>
  <c r="AY47" i="2"/>
  <c r="AY48" i="2"/>
  <c r="AY14" i="2"/>
  <c r="AY46" i="2"/>
  <c r="AY57" i="2"/>
  <c r="AY56" i="2"/>
  <c r="AY43" i="2"/>
  <c r="AY51" i="2"/>
  <c r="AY79" i="2"/>
  <c r="AY5" i="2"/>
  <c r="AY18" i="2"/>
  <c r="AY78" i="2"/>
  <c r="AY16" i="2"/>
  <c r="AY77" i="2"/>
  <c r="AY76" i="2"/>
  <c r="AY17" i="2"/>
  <c r="AY13" i="2"/>
  <c r="AY42" i="2"/>
  <c r="AY4" i="2"/>
  <c r="AY75" i="2"/>
  <c r="AY74" i="2"/>
  <c r="AY73" i="2"/>
  <c r="AY72" i="2"/>
  <c r="AY50" i="2"/>
  <c r="AY71" i="2"/>
  <c r="AY70" i="2"/>
  <c r="AY55" i="2"/>
  <c r="AY69" i="2"/>
  <c r="AY23" i="2"/>
  <c r="AY68" i="2"/>
  <c r="AY67" i="2"/>
  <c r="AY66" i="2"/>
  <c r="AY41" i="2"/>
  <c r="AY65" i="2"/>
  <c r="AY64" i="2"/>
  <c r="AY59" i="2"/>
  <c r="AY63" i="2"/>
  <c r="AY62" i="2"/>
  <c r="AY54" i="2"/>
  <c r="AY44" i="2"/>
  <c r="AY11" i="1"/>
  <c r="AY36" i="1"/>
  <c r="AY18" i="1"/>
  <c r="AY23" i="1"/>
  <c r="AY6" i="1"/>
  <c r="AY30" i="1"/>
  <c r="AY54" i="1"/>
  <c r="AY2" i="1"/>
  <c r="AY33" i="1"/>
  <c r="AY19" i="1"/>
  <c r="AY10" i="1"/>
  <c r="AY22" i="1"/>
  <c r="AY48" i="1"/>
  <c r="AY49" i="1"/>
  <c r="AY46" i="1"/>
  <c r="AY5" i="1"/>
  <c r="AY13" i="1"/>
  <c r="AY14" i="1"/>
  <c r="AY12" i="1"/>
  <c r="AY40" i="1"/>
  <c r="AY8" i="1"/>
  <c r="AY9" i="1"/>
  <c r="AY24" i="1"/>
  <c r="AY37" i="1"/>
  <c r="AY7" i="1"/>
  <c r="AY29" i="1"/>
  <c r="AY53" i="1"/>
  <c r="AY55" i="1"/>
  <c r="AY3" i="1"/>
  <c r="AY43" i="1"/>
  <c r="AY27" i="1"/>
  <c r="AY21" i="1"/>
  <c r="AY15" i="1"/>
  <c r="AY34" i="1"/>
  <c r="AY32" i="1"/>
  <c r="AY28" i="1"/>
  <c r="AY50" i="1"/>
  <c r="AY51" i="1"/>
  <c r="AY41" i="1"/>
  <c r="AY38" i="1"/>
  <c r="AY47" i="1"/>
  <c r="AY39" i="1"/>
  <c r="AY44" i="1"/>
  <c r="AY4" i="1"/>
  <c r="AY25" i="1"/>
  <c r="AY26" i="1"/>
  <c r="AY16" i="1"/>
  <c r="AY20" i="1"/>
  <c r="AY45" i="1"/>
  <c r="AY17" i="1"/>
  <c r="AY31" i="1"/>
  <c r="AY52" i="1"/>
  <c r="AY35" i="1"/>
  <c r="AY42" i="1"/>
</calcChain>
</file>

<file path=xl/sharedStrings.xml><?xml version="1.0" encoding="utf-8"?>
<sst xmlns="http://schemas.openxmlformats.org/spreadsheetml/2006/main" count="2772" uniqueCount="294">
  <si>
    <t>chr</t>
  </si>
  <si>
    <t>strand</t>
  </si>
  <si>
    <t>bp</t>
  </si>
  <si>
    <t>1_52_12_RPZ28677_H6_3n5combined_1CGTGAT2TAGCTT.txt</t>
  </si>
  <si>
    <t>2_53_13_RPZ28677_C17_3n5combined_1ACATCG2TAGCTT.txt</t>
  </si>
  <si>
    <t>3_54_14_RPZ28677_I11_3n5combined_1GCCTAA2TAGCTT.txt</t>
  </si>
  <si>
    <t>4_55_15_RPZ28677_C9_3n5combined_1TGGTCA2TAGCTT.txt</t>
  </si>
  <si>
    <t>5_56_16_RPZ28685_B16_3n5combined_1CACTGT2TAGCTT.txt</t>
  </si>
  <si>
    <t>6_57_17_RPZ28685_O10_3n5combined_1TGACCA2TAGCTT.txt</t>
  </si>
  <si>
    <t>7_58_18_RPZ28685_H14_3n5combined_1CGTACG2TAGCTT.txt</t>
  </si>
  <si>
    <t>8_59_19_RPZ28685_M23_3n5combined_1CGTGAT2CTTGTA.txt</t>
  </si>
  <si>
    <t>9_60_20_RPZ28685_N13_3n5combined_1ACATCG2CTTGTA.txt</t>
  </si>
  <si>
    <t>10_61_21_RPZ28685_L22_3n5combined_1GCCTAA2CTTGTA.txt</t>
  </si>
  <si>
    <t>11_62_22_RPZ28685_G3_3n5combined_1TGGTCA2CTTGTA.txt</t>
  </si>
  <si>
    <t>12_63_23_RPZ28685_M22_3n5combined_1CACTGT2CTTGTA.txt</t>
  </si>
  <si>
    <t>13_65_25_RPZ28685_D17_3n5combined_1TGACCA2CTTGTA.txt</t>
  </si>
  <si>
    <t>14_66_26_RPZ28685_J8_3n5combined_1CGTACG2CTTGTA.txt</t>
  </si>
  <si>
    <t>15_67_28_RPZ28685_J5_3n5combined_1CGTGAT2ATTGGC.txt</t>
  </si>
  <si>
    <t>16_68_29_RPZ28685_H5_3n5combined_1ACATCG2ATTGGC.txt</t>
  </si>
  <si>
    <t>17_69_30_RPZ28685_C13_3n5combined_1GCCTAA2ATTGGC.txt</t>
  </si>
  <si>
    <t>18_70_31_RPZ28685_N14_3n5combined_1TGGTCA2ATTGGC.txt</t>
  </si>
  <si>
    <t>19_71_32_RPZ28685_M5_3n5combined_1CACTGT2ATTGGC.txt</t>
  </si>
  <si>
    <t>20_72_33_RPZ28685_G18_3n5combined_1TGACCA2ATTGGC.txt</t>
  </si>
  <si>
    <t>21_73_34_RPZ28685_O7_3n5combined_1CGTACG2ATTGGC.txt</t>
  </si>
  <si>
    <t>22_74_35_RPZ28685_H20_3n5combined_1CGTGAT2GATCTG.txt</t>
  </si>
  <si>
    <t>23_75_36_RPZ28685_M21_3n5combined_1ACATCG2GATCTG.txt</t>
  </si>
  <si>
    <t>24_76_37_RPZ28685_F19_3n5combined_1GCCTAA2GATCTG.txt</t>
  </si>
  <si>
    <t>25_77_38_RPZ28691_G2_3n5combined_1TGGTCA2GATCTG.txt</t>
  </si>
  <si>
    <t>26_78_39_RPZ28691_E6_3n5combined_1CACTGT2GATCTG.txt</t>
  </si>
  <si>
    <t>27_79_41_RPZ28691_N13_3n5combined_1TGACCA2GATCTG.txt</t>
  </si>
  <si>
    <t>28_80_42_RPZ28691_I19_3n5combined_1CGTACG2GATCTG.txt</t>
  </si>
  <si>
    <t>29_81_43_RPZ28691_E20_3n5combined_1CGTGAT2TCAAGT.txt</t>
  </si>
  <si>
    <t>30_82_44_RPZ28691_E22_3n5combined_1ACATCG2TCAAGT.txt</t>
  </si>
  <si>
    <t>31_83_45_RPZ28691_N23_3n5combined_1GCCTAA2TCAAGT.txt</t>
  </si>
  <si>
    <t>32_84_46_RPZ28691_M23_3n5combined_1TGGTCA2TCAAGT.txt</t>
  </si>
  <si>
    <t>33_85_47_RPZ28693_E4_3n5combined_1CACTGT2TCAAGT.txt</t>
  </si>
  <si>
    <t>34_86_48_RPZ28693_H10_3n5combined_1TGACCA2TCAAGT.txt</t>
  </si>
  <si>
    <t>35_87_49_RPZ28693_F19_3n5combined_1CGTACG2TCAAGT.txt</t>
  </si>
  <si>
    <t>36_88_50_RPZ28693_B8_3n5combined_1CGTGAT2CTGATC.txt</t>
  </si>
  <si>
    <t>37_89_51_RPZ28693_L21_3n5combined_1ACATCG2CTGATC.txt</t>
  </si>
  <si>
    <t>38_90_52_RPZ28693_N23_3n5combined_1GCCTAA2CTGATC.txt</t>
  </si>
  <si>
    <t>39_91_53_RPZ28693_H8_3n5combined_1TGGTCA2CTGATC.txt</t>
  </si>
  <si>
    <t>40_93_55_RPZ28693_F23_3n5combined_1CACTGT2CTGATC.txt</t>
  </si>
  <si>
    <t>41_94_56_RPZ28693_J2_3n5combined_1TGACCA2CTGATC.txt</t>
  </si>
  <si>
    <t>42_95_57_RPZ28693_J4_3n5combined_1CGTACG2CTGATC.txt</t>
  </si>
  <si>
    <t>chr1</t>
  </si>
  <si>
    <t>-</t>
  </si>
  <si>
    <t>Pkhd1</t>
  </si>
  <si>
    <t>NM_153179</t>
  </si>
  <si>
    <t>in</t>
  </si>
  <si>
    <t>intron</t>
  </si>
  <si>
    <t xml:space="preserve"> </t>
  </si>
  <si>
    <t>Gm8883</t>
  </si>
  <si>
    <t>NR_027659</t>
  </si>
  <si>
    <t>+</t>
  </si>
  <si>
    <t>out</t>
  </si>
  <si>
    <t>Ppip5k2</t>
  </si>
  <si>
    <t>NM_173760</t>
  </si>
  <si>
    <t>Dsel</t>
  </si>
  <si>
    <t>NM_001081316</t>
  </si>
  <si>
    <t>chr10</t>
  </si>
  <si>
    <t>Gm20125</t>
  </si>
  <si>
    <t>NR_038020</t>
  </si>
  <si>
    <t>Ctgf</t>
  </si>
  <si>
    <t>NM_010217</t>
  </si>
  <si>
    <t>Slc16a7</t>
  </si>
  <si>
    <t>NM_011391</t>
  </si>
  <si>
    <t>chr11</t>
  </si>
  <si>
    <t>Gnb2l1</t>
  </si>
  <si>
    <t>NM_008143</t>
  </si>
  <si>
    <t>Tbcd</t>
  </si>
  <si>
    <t>NM_029878</t>
  </si>
  <si>
    <t>chr12</t>
  </si>
  <si>
    <t>Ppp4r4</t>
  </si>
  <si>
    <t>NM_028980</t>
  </si>
  <si>
    <t>chr13</t>
  </si>
  <si>
    <t>1700092E19Rik</t>
  </si>
  <si>
    <t>NR_045933</t>
  </si>
  <si>
    <t>Smad5</t>
  </si>
  <si>
    <t>NM_001164041</t>
  </si>
  <si>
    <t>Itga2</t>
  </si>
  <si>
    <t>NM_008396</t>
  </si>
  <si>
    <t>chr14</t>
  </si>
  <si>
    <t>Naa16</t>
  </si>
  <si>
    <t>NM_025832</t>
  </si>
  <si>
    <t>chr15</t>
  </si>
  <si>
    <t>Ext1</t>
  </si>
  <si>
    <t>NM_010162</t>
  </si>
  <si>
    <t>Slc38a4</t>
  </si>
  <si>
    <t>NM_027052</t>
  </si>
  <si>
    <t>chr16</t>
  </si>
  <si>
    <t>4932412D23Rik</t>
  </si>
  <si>
    <t>NR_040521</t>
  </si>
  <si>
    <t>Mir99ahg</t>
  </si>
  <si>
    <t>NR_015543</t>
  </si>
  <si>
    <t>chr17</t>
  </si>
  <si>
    <t>Qk</t>
  </si>
  <si>
    <t>NM_001159516</t>
  </si>
  <si>
    <t>Ddr1</t>
  </si>
  <si>
    <t>NM_172962</t>
  </si>
  <si>
    <t>Efna5</t>
  </si>
  <si>
    <t>NM_010109</t>
  </si>
  <si>
    <t>chr18</t>
  </si>
  <si>
    <t>Tcerg1</t>
  </si>
  <si>
    <t>NM_001289526</t>
  </si>
  <si>
    <t>Dtwd2</t>
  </si>
  <si>
    <t>NM_026854</t>
  </si>
  <si>
    <t>exon</t>
  </si>
  <si>
    <t>chr2</t>
  </si>
  <si>
    <t>Sec61a2</t>
  </si>
  <si>
    <t>NM_021305</t>
  </si>
  <si>
    <t>Fam171b</t>
  </si>
  <si>
    <t>NM_175514</t>
  </si>
  <si>
    <t>Lrrc4c</t>
  </si>
  <si>
    <t>NM_001289743</t>
  </si>
  <si>
    <t>Ccdc34os</t>
  </si>
  <si>
    <t>NR_040508</t>
  </si>
  <si>
    <t>Katnbl1</t>
  </si>
  <si>
    <t>NM_024254</t>
  </si>
  <si>
    <t>Raly</t>
  </si>
  <si>
    <t>NM_001139511</t>
  </si>
  <si>
    <t>Rbm39</t>
  </si>
  <si>
    <t>NM_001291114</t>
  </si>
  <si>
    <t>Zmynd8</t>
  </si>
  <si>
    <t>NM_001291158</t>
  </si>
  <si>
    <t>chr3</t>
  </si>
  <si>
    <t>1110015O18Rik</t>
  </si>
  <si>
    <t>NR_045272</t>
  </si>
  <si>
    <t>Smc4</t>
  </si>
  <si>
    <t>NM_133786</t>
  </si>
  <si>
    <t>Crct1</t>
  </si>
  <si>
    <t>NM_028798</t>
  </si>
  <si>
    <t>Spag17</t>
  </si>
  <si>
    <t>NM_028892</t>
  </si>
  <si>
    <t>chr4</t>
  </si>
  <si>
    <t>Mmp16</t>
  </si>
  <si>
    <t>NM_019724</t>
  </si>
  <si>
    <t>Foxj3</t>
  </si>
  <si>
    <t>NM_001290696</t>
  </si>
  <si>
    <t>Ago3</t>
  </si>
  <si>
    <t>NM_153402</t>
  </si>
  <si>
    <t>chr5</t>
  </si>
  <si>
    <t>Sema3a</t>
  </si>
  <si>
    <t>NM_001243072</t>
  </si>
  <si>
    <t>Enoph1</t>
  </si>
  <si>
    <t>NM_001163035</t>
  </si>
  <si>
    <t>Zfp326</t>
  </si>
  <si>
    <t>NR_030777</t>
  </si>
  <si>
    <t>Pan3</t>
  </si>
  <si>
    <t>NM_028291</t>
  </si>
  <si>
    <t>chr6</t>
  </si>
  <si>
    <t>Avl9</t>
  </si>
  <si>
    <t>NM_030235</t>
  </si>
  <si>
    <t>4933427D06Rik</t>
  </si>
  <si>
    <t>NM_175017</t>
  </si>
  <si>
    <t>chr7</t>
  </si>
  <si>
    <t>Cpeb1</t>
  </si>
  <si>
    <t>NM_007755</t>
  </si>
  <si>
    <t>Arnt2</t>
  </si>
  <si>
    <t>NM_007488</t>
  </si>
  <si>
    <t>Picalm</t>
  </si>
  <si>
    <t>NM_001252520</t>
  </si>
  <si>
    <t>Ipo7</t>
  </si>
  <si>
    <t>NM_181517</t>
  </si>
  <si>
    <t>chr8</t>
  </si>
  <si>
    <t>Efnb2</t>
  </si>
  <si>
    <t>NM_010111</t>
  </si>
  <si>
    <t>chrX</t>
  </si>
  <si>
    <t>Slc9a6</t>
  </si>
  <si>
    <t>NM_172780</t>
  </si>
  <si>
    <t>Aff2</t>
  </si>
  <si>
    <t>NM_008032</t>
  </si>
  <si>
    <t>Atg3</t>
  </si>
  <si>
    <t>NM_026402</t>
  </si>
  <si>
    <t>Tbx15</t>
  </si>
  <si>
    <t>NM_009323</t>
  </si>
  <si>
    <t>chr9</t>
  </si>
  <si>
    <t>Plekhg1</t>
  </si>
  <si>
    <t>NM_001159942</t>
  </si>
  <si>
    <t>Sim1</t>
  </si>
  <si>
    <t>NM_011376</t>
  </si>
  <si>
    <t>Adarb1</t>
  </si>
  <si>
    <t>NR_004429</t>
  </si>
  <si>
    <t>5730507C01Rik</t>
  </si>
  <si>
    <t>NM_001033157</t>
  </si>
  <si>
    <t>Hdac9</t>
  </si>
  <si>
    <t>NM_001271386</t>
  </si>
  <si>
    <t>Mir1198</t>
  </si>
  <si>
    <t>NR_035430</t>
  </si>
  <si>
    <t>Cdca7l</t>
  </si>
  <si>
    <t>NM_146040</t>
  </si>
  <si>
    <t>Gm5458</t>
  </si>
  <si>
    <t>NM_001024706</t>
  </si>
  <si>
    <t>Nalcn</t>
  </si>
  <si>
    <t>NM_177393</t>
  </si>
  <si>
    <t>Plec</t>
  </si>
  <si>
    <t>NM_201385</t>
  </si>
  <si>
    <t>Nup50</t>
  </si>
  <si>
    <t>NM_016714</t>
  </si>
  <si>
    <t>Ccr6</t>
  </si>
  <si>
    <t>NM_001190337</t>
  </si>
  <si>
    <t>Mvb12b</t>
  </si>
  <si>
    <t>NM_175184</t>
  </si>
  <si>
    <t>NM_178725</t>
  </si>
  <si>
    <t>D3Ertd751e</t>
  </si>
  <si>
    <t>NM_001291048</t>
  </si>
  <si>
    <t>Kank4</t>
  </si>
  <si>
    <t>NM_172872</t>
  </si>
  <si>
    <t>Anapc4</t>
  </si>
  <si>
    <t>NM_024213</t>
  </si>
  <si>
    <t>Wbscr17</t>
  </si>
  <si>
    <t>NM_145218</t>
  </si>
  <si>
    <t>Fam220a</t>
  </si>
  <si>
    <t>NM_026050</t>
  </si>
  <si>
    <t>Mrgpra3</t>
  </si>
  <si>
    <t>NM_153067</t>
  </si>
  <si>
    <t>Mrgpra4</t>
  </si>
  <si>
    <t>NM_153524</t>
  </si>
  <si>
    <t>Nox4</t>
  </si>
  <si>
    <t>NM_001285835</t>
  </si>
  <si>
    <t>Mir101c</t>
  </si>
  <si>
    <t>NR_039546</t>
  </si>
  <si>
    <t>Gm6406</t>
  </si>
  <si>
    <t>NM_001134661</t>
  </si>
  <si>
    <t>1_6_RPZ28689_B5</t>
  </si>
  <si>
    <t>1CGTGAT2TAGCTT</t>
  </si>
  <si>
    <t>3LTR</t>
  </si>
  <si>
    <t>5LTR</t>
  </si>
  <si>
    <t>2_7_RPZ28689_B8</t>
  </si>
  <si>
    <t>1ACATCG2TAGCTT</t>
  </si>
  <si>
    <t>3_8_RPZ28689_B11</t>
  </si>
  <si>
    <t>1GCCTAA2TAGCTT</t>
  </si>
  <si>
    <t>4_9_RPZ28689_B16</t>
  </si>
  <si>
    <t>1TGGTCA2TAGCTT</t>
  </si>
  <si>
    <t>5_12_RPZ28689_C13</t>
  </si>
  <si>
    <t>1CACTGT2TAGCTT</t>
  </si>
  <si>
    <t>6_14_RPZ28689_D6</t>
  </si>
  <si>
    <t>1TGACCA2TAGCTT</t>
  </si>
  <si>
    <t>7_23_RPZ28689_F13</t>
  </si>
  <si>
    <t>1CGTACG2TAGCTT</t>
  </si>
  <si>
    <t>8_24_RPZ28689_F15</t>
  </si>
  <si>
    <t>1CGTGAT2CTTGTA</t>
  </si>
  <si>
    <t>9_26_RPZ28689_G16</t>
  </si>
  <si>
    <t>1ACATCG2CTTGTA</t>
  </si>
  <si>
    <t>10_30_RPZ28689_I3</t>
  </si>
  <si>
    <t>1GCCTAA2CTTGTA</t>
  </si>
  <si>
    <t>11_31_RPZ28689_I6</t>
  </si>
  <si>
    <t>1TGGTCA2CTTGTA</t>
  </si>
  <si>
    <t>12_34_RPZ28689_I23</t>
  </si>
  <si>
    <t>1CACTGT2CTTGTA</t>
  </si>
  <si>
    <t>13_39_RPZ28689_K6</t>
  </si>
  <si>
    <t>1TGACCA2CTTGTA</t>
  </si>
  <si>
    <t>14_43_RPZ28689_L6</t>
  </si>
  <si>
    <t>1CGTACG2CTTGTA</t>
  </si>
  <si>
    <t>15_47_RPZ28689_M13</t>
  </si>
  <si>
    <t>1CGTGAT2ATTGGC</t>
  </si>
  <si>
    <t>16_50_RPZ28689_N8</t>
  </si>
  <si>
    <t>1ACATCG2ATTGGC</t>
  </si>
  <si>
    <t>17_57_RPZ28689_O19</t>
  </si>
  <si>
    <t>1GCCTAA2ATTGGC</t>
  </si>
  <si>
    <t>18_58_RPZ28689_O20</t>
  </si>
  <si>
    <t>1TGGTCA2ATTGGC</t>
  </si>
  <si>
    <t>19_61_RPZ28677_N3</t>
  </si>
  <si>
    <t>1CACTGT2ATTGGC</t>
  </si>
  <si>
    <t>20_62_RPZ28677_H5</t>
  </si>
  <si>
    <t>1TGACCA2ATTGGC</t>
  </si>
  <si>
    <t>21_63_RPZ28677_O7</t>
  </si>
  <si>
    <t>1CGTACG2ATTGGC</t>
  </si>
  <si>
    <t>22_64_RPZ28691_F5</t>
  </si>
  <si>
    <t>1CGTGAT2TCAAGT</t>
  </si>
  <si>
    <t>23_65_RPZ28691_I6</t>
  </si>
  <si>
    <t>1ACATCG2TCAAGT</t>
  </si>
  <si>
    <t>24_66_RPZ28691_D7</t>
  </si>
  <si>
    <t>1GCCTAA2TCAAGT</t>
  </si>
  <si>
    <t>25_67_RPZ28691_H7</t>
  </si>
  <si>
    <t>1TGGTCA2TCAAGT</t>
  </si>
  <si>
    <t>26_68_RPZ28691_H8</t>
  </si>
  <si>
    <t>1CACTGT2TCAAGT</t>
  </si>
  <si>
    <t>27_69_RPZ28691_E12</t>
  </si>
  <si>
    <t>1TGACCA2TCAAGT</t>
  </si>
  <si>
    <t>28_70_RPZ28691_M16</t>
  </si>
  <si>
    <t>1CGTACG2TCAAGT</t>
  </si>
  <si>
    <t>29_71_RPZ28691_H17</t>
  </si>
  <si>
    <t>1CGTGAT2CTGATC</t>
  </si>
  <si>
    <t>30_72_RPZ28691_K17</t>
  </si>
  <si>
    <t>1ACATCG2CTGATC</t>
  </si>
  <si>
    <t>31_73_RPZ28691_D19</t>
  </si>
  <si>
    <t>1GCCTAA2CTGATC</t>
  </si>
  <si>
    <t>32_74_RPZ28691_K19</t>
  </si>
  <si>
    <t>1TGGTCA2CTGATC</t>
  </si>
  <si>
    <t>33_75_RPZ28691_D20</t>
  </si>
  <si>
    <t>1CACTGT2CTGATC</t>
  </si>
  <si>
    <t>34_76_RPZ28691_L22</t>
  </si>
  <si>
    <t>1TGACCA2CTGATC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</si>
</sst>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6">
    <xf numFmtId="0" fontId="0" fillId="0" borderId="0" xfId="0"/>
    <xf numFmtId="0" fontId="0" fillId="0" borderId="0" xfId="0" applyAlignment="1">
      <alignment vertical="top" wrapText="1"/>
    </xf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4" fillId="0" borderId="0" xfId="0" applyFont="1"/>
    <xf numFmtId="0" fontId="18" fillId="0" borderId="0" xfId="0" applyFont="1"/>
    <xf numFmtId="0" fontId="18" fillId="0" borderId="0" xfId="0" applyFont="1" applyBorder="1"/>
    <xf numFmtId="0" fontId="18" fillId="0" borderId="10" xfId="0" applyFont="1" applyBorder="1"/>
    <xf numFmtId="0" fontId="18" fillId="0" borderId="11" xfId="0" applyFont="1" applyBorder="1"/>
    <xf numFmtId="0" fontId="0" fillId="33" borderId="11" xfId="0" applyFill="1" applyBorder="1"/>
    <xf numFmtId="0" fontId="18" fillId="33" borderId="0" xfId="0" applyFont="1" applyFill="1" applyBorder="1"/>
    <xf numFmtId="0" fontId="0" fillId="33" borderId="0" xfId="0" applyFill="1" applyBorder="1"/>
    <xf numFmtId="0" fontId="18" fillId="34" borderId="0" xfId="0" applyFont="1" applyFill="1" applyBorder="1"/>
    <xf numFmtId="0" fontId="0" fillId="35" borderId="11" xfId="0" applyFill="1" applyBorder="1"/>
    <xf numFmtId="0" fontId="0" fillId="35" borderId="0" xfId="0" applyFill="1" applyBorder="1"/>
    <xf numFmtId="0" fontId="0" fillId="33" borderId="10" xfId="0" applyFill="1" applyBorder="1"/>
    <xf numFmtId="0" fontId="0" fillId="34" borderId="0" xfId="0" applyFill="1" applyBorder="1"/>
    <xf numFmtId="0" fontId="0" fillId="36" borderId="14" xfId="0" applyFill="1" applyBorder="1" applyAlignment="1">
      <alignment vertical="top" wrapText="1"/>
    </xf>
    <xf numFmtId="0" fontId="0" fillId="36" borderId="15" xfId="0" applyFill="1" applyBorder="1" applyAlignment="1">
      <alignment vertical="top" wrapText="1"/>
    </xf>
    <xf numFmtId="0" fontId="0" fillId="36" borderId="16" xfId="0" applyFill="1" applyBorder="1" applyAlignment="1">
      <alignment vertical="top" wrapText="1"/>
    </xf>
    <xf numFmtId="0" fontId="0" fillId="36" borderId="17" xfId="0" applyFill="1" applyBorder="1" applyAlignment="1">
      <alignment vertical="top" wrapText="1"/>
    </xf>
    <xf numFmtId="0" fontId="18" fillId="33" borderId="10" xfId="0" applyFont="1" applyFill="1" applyBorder="1"/>
    <xf numFmtId="0" fontId="0" fillId="34" borderId="1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55"/>
  <sheetViews>
    <sheetView workbookViewId="0">
      <pane xSplit="3" topLeftCell="AM1" activePane="topRight" state="frozen"/>
      <selection pane="topRight" activeCell="AU34" sqref="AU34"/>
    </sheetView>
  </sheetViews>
  <sheetFormatPr baseColWidth="10" defaultRowHeight="16" x14ac:dyDescent="0.2"/>
  <cols>
    <col min="4" max="4" width="10.83203125" style="2"/>
    <col min="5" max="6" width="10.83203125" style="3"/>
    <col min="7" max="7" width="10.83203125" style="4"/>
    <col min="28" max="28" width="10.83203125" style="2"/>
    <col min="29" max="34" width="10.83203125" style="3"/>
    <col min="35" max="35" width="10.83203125" style="4"/>
  </cols>
  <sheetData>
    <row r="1" spans="1:53" s="20" customFormat="1" ht="97" customHeight="1" thickBot="1" x14ac:dyDescent="0.25">
      <c r="A1" s="20" t="s">
        <v>0</v>
      </c>
      <c r="B1" s="20" t="s">
        <v>1</v>
      </c>
      <c r="C1" s="20" t="s">
        <v>2</v>
      </c>
      <c r="D1" s="21" t="s">
        <v>3</v>
      </c>
      <c r="E1" s="22" t="s">
        <v>4</v>
      </c>
      <c r="F1" s="22" t="s">
        <v>5</v>
      </c>
      <c r="G1" s="23" t="s">
        <v>6</v>
      </c>
      <c r="H1" s="20" t="s">
        <v>7</v>
      </c>
      <c r="I1" s="20" t="s">
        <v>8</v>
      </c>
      <c r="J1" s="20" t="s">
        <v>9</v>
      </c>
      <c r="K1" s="20" t="s">
        <v>10</v>
      </c>
      <c r="L1" s="20" t="s">
        <v>11</v>
      </c>
      <c r="M1" s="20" t="s">
        <v>12</v>
      </c>
      <c r="N1" s="20" t="s">
        <v>13</v>
      </c>
      <c r="O1" s="20" t="s">
        <v>14</v>
      </c>
      <c r="P1" s="20" t="s">
        <v>15</v>
      </c>
      <c r="Q1" s="20" t="s">
        <v>16</v>
      </c>
      <c r="R1" s="20" t="s">
        <v>17</v>
      </c>
      <c r="S1" s="20" t="s">
        <v>18</v>
      </c>
      <c r="T1" s="20" t="s">
        <v>19</v>
      </c>
      <c r="U1" s="20" t="s">
        <v>20</v>
      </c>
      <c r="V1" s="20" t="s">
        <v>21</v>
      </c>
      <c r="W1" s="20" t="s">
        <v>22</v>
      </c>
      <c r="X1" s="20" t="s">
        <v>23</v>
      </c>
      <c r="Y1" s="20" t="s">
        <v>24</v>
      </c>
      <c r="Z1" s="20" t="s">
        <v>25</v>
      </c>
      <c r="AA1" s="20" t="s">
        <v>26</v>
      </c>
      <c r="AB1" s="21" t="s">
        <v>27</v>
      </c>
      <c r="AC1" s="22" t="s">
        <v>28</v>
      </c>
      <c r="AD1" s="22" t="s">
        <v>29</v>
      </c>
      <c r="AE1" s="22" t="s">
        <v>30</v>
      </c>
      <c r="AF1" s="22" t="s">
        <v>31</v>
      </c>
      <c r="AG1" s="22" t="s">
        <v>32</v>
      </c>
      <c r="AH1" s="22" t="s">
        <v>33</v>
      </c>
      <c r="AI1" s="23" t="s">
        <v>34</v>
      </c>
      <c r="AJ1" s="22" t="s">
        <v>35</v>
      </c>
      <c r="AK1" s="22" t="s">
        <v>36</v>
      </c>
      <c r="AL1" s="22" t="s">
        <v>37</v>
      </c>
      <c r="AM1" s="22" t="s">
        <v>38</v>
      </c>
      <c r="AN1" s="22" t="s">
        <v>39</v>
      </c>
      <c r="AO1" s="22" t="s">
        <v>40</v>
      </c>
      <c r="AP1" s="22" t="s">
        <v>41</v>
      </c>
      <c r="AQ1" s="22" t="s">
        <v>42</v>
      </c>
      <c r="AR1" s="22" t="s">
        <v>43</v>
      </c>
      <c r="AS1" s="23" t="s">
        <v>44</v>
      </c>
    </row>
    <row r="2" spans="1:53" ht="17" thickTop="1" x14ac:dyDescent="0.2">
      <c r="A2" t="s">
        <v>67</v>
      </c>
      <c r="B2" t="s">
        <v>54</v>
      </c>
      <c r="C2">
        <v>48805343</v>
      </c>
      <c r="D2" s="2" t="s">
        <v>51</v>
      </c>
      <c r="H2" s="3"/>
      <c r="I2" s="3"/>
      <c r="J2" s="3"/>
      <c r="K2" s="3" t="s">
        <v>51</v>
      </c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F2" s="3" t="s">
        <v>51</v>
      </c>
      <c r="AJ2" s="3"/>
      <c r="AK2" s="3"/>
      <c r="AL2" s="3"/>
      <c r="AM2" s="14">
        <v>256</v>
      </c>
      <c r="AN2" s="3"/>
      <c r="AO2" s="3"/>
      <c r="AP2" s="3"/>
      <c r="AQ2" s="3"/>
      <c r="AR2" s="3"/>
      <c r="AS2" s="4"/>
      <c r="AT2" t="s">
        <v>68</v>
      </c>
      <c r="AU2" t="s">
        <v>69</v>
      </c>
      <c r="AV2" t="s">
        <v>54</v>
      </c>
      <c r="AW2">
        <v>48800359</v>
      </c>
      <c r="AX2">
        <v>48806241</v>
      </c>
      <c r="AY2" t="str">
        <f>HYPERLINK("http://genome.ucsc.edu/cgi-bin/hgTracks?clade=vertebrate&amp;org=Human&amp;db=hg19&amp;position=chr11:48775343-48835343")</f>
        <v>http://genome.ucsc.edu/cgi-bin/hgTracks?clade=vertebrate&amp;org=Human&amp;db=hg19&amp;position=chr11:48775343-48835343</v>
      </c>
      <c r="AZ2" t="s">
        <v>49</v>
      </c>
      <c r="BA2" t="s">
        <v>50</v>
      </c>
    </row>
    <row r="3" spans="1:53" x14ac:dyDescent="0.2">
      <c r="A3" t="s">
        <v>108</v>
      </c>
      <c r="B3" t="s">
        <v>46</v>
      </c>
      <c r="C3">
        <v>95558327</v>
      </c>
      <c r="D3" s="24">
        <v>129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J3" s="3"/>
      <c r="AK3" s="3"/>
      <c r="AL3" s="3"/>
      <c r="AM3" s="3"/>
      <c r="AN3" s="3"/>
      <c r="AO3" s="3"/>
      <c r="AP3" s="3"/>
      <c r="AQ3" s="3"/>
      <c r="AR3" s="3"/>
      <c r="AS3" s="4"/>
      <c r="AT3" t="s">
        <v>113</v>
      </c>
      <c r="AU3" t="s">
        <v>114</v>
      </c>
      <c r="AV3" t="s">
        <v>54</v>
      </c>
      <c r="AW3">
        <v>96318168</v>
      </c>
      <c r="AX3">
        <v>97631664</v>
      </c>
      <c r="AY3" t="str">
        <f>HYPERLINK("http://genome.ucsc.edu/cgi-bin/hgTracks?clade=vertebrate&amp;org=Human&amp;db=hg19&amp;position=chr2:95528327-95588327")</f>
        <v>http://genome.ucsc.edu/cgi-bin/hgTracks?clade=vertebrate&amp;org=Human&amp;db=hg19&amp;position=chr2:95528327-95588327</v>
      </c>
      <c r="AZ3" t="s">
        <v>55</v>
      </c>
      <c r="BA3">
        <v>759841</v>
      </c>
    </row>
    <row r="4" spans="1:53" x14ac:dyDescent="0.2">
      <c r="A4" t="s">
        <v>141</v>
      </c>
      <c r="B4" t="s">
        <v>54</v>
      </c>
      <c r="C4">
        <v>105891037</v>
      </c>
      <c r="D4" s="24">
        <v>128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J4" s="3"/>
      <c r="AK4" s="3"/>
      <c r="AL4" s="3"/>
      <c r="AM4" s="3"/>
      <c r="AN4" s="3"/>
      <c r="AO4" s="3"/>
      <c r="AP4" s="3"/>
      <c r="AQ4" s="3"/>
      <c r="AR4" s="3"/>
      <c r="AS4" s="4"/>
      <c r="AT4" t="s">
        <v>146</v>
      </c>
      <c r="AU4" t="s">
        <v>147</v>
      </c>
      <c r="AV4" t="s">
        <v>54</v>
      </c>
      <c r="AW4">
        <v>105876567</v>
      </c>
      <c r="AX4">
        <v>105915820</v>
      </c>
      <c r="AY4" t="str">
        <f>HYPERLINK("http://genome.ucsc.edu/cgi-bin/hgTracks?clade=vertebrate&amp;org=Human&amp;db=hg19&amp;position=chr5:105861037-105921037")</f>
        <v>http://genome.ucsc.edu/cgi-bin/hgTracks?clade=vertebrate&amp;org=Human&amp;db=hg19&amp;position=chr5:105861037-105921037</v>
      </c>
      <c r="AZ4" t="s">
        <v>49</v>
      </c>
      <c r="BA4" t="s">
        <v>50</v>
      </c>
    </row>
    <row r="5" spans="1:53" x14ac:dyDescent="0.2">
      <c r="A5" t="s">
        <v>85</v>
      </c>
      <c r="B5" t="s">
        <v>54</v>
      </c>
      <c r="C5">
        <v>96920707</v>
      </c>
      <c r="D5" s="24">
        <v>123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J5" s="3"/>
      <c r="AK5" s="3"/>
      <c r="AL5" s="3"/>
      <c r="AM5" s="3"/>
      <c r="AN5" s="3"/>
      <c r="AO5" s="3"/>
      <c r="AP5" s="3"/>
      <c r="AQ5" s="3"/>
      <c r="AR5" s="3"/>
      <c r="AS5" s="4"/>
      <c r="AT5" t="s">
        <v>88</v>
      </c>
      <c r="AU5" t="s">
        <v>89</v>
      </c>
      <c r="AV5" t="s">
        <v>46</v>
      </c>
      <c r="AW5">
        <v>96994822</v>
      </c>
      <c r="AX5">
        <v>97055956</v>
      </c>
      <c r="AY5" t="str">
        <f>HYPERLINK("http://genome.ucsc.edu/cgi-bin/hgTracks?clade=vertebrate&amp;org=Human&amp;db=hg19&amp;position=chr15:96890707-96950707")</f>
        <v>http://genome.ucsc.edu/cgi-bin/hgTracks?clade=vertebrate&amp;org=Human&amp;db=hg19&amp;position=chr15:96890707-96950707</v>
      </c>
      <c r="AZ5" t="s">
        <v>55</v>
      </c>
      <c r="BA5">
        <v>74115</v>
      </c>
    </row>
    <row r="6" spans="1:53" x14ac:dyDescent="0.2">
      <c r="A6" t="s">
        <v>60</v>
      </c>
      <c r="B6" t="s">
        <v>54</v>
      </c>
      <c r="C6">
        <v>16648302</v>
      </c>
      <c r="D6" s="24">
        <v>122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J6" s="3"/>
      <c r="AK6" s="3"/>
      <c r="AL6" s="3"/>
      <c r="AM6" s="3" t="s">
        <v>51</v>
      </c>
      <c r="AN6" s="3"/>
      <c r="AO6" s="3"/>
      <c r="AP6" s="3"/>
      <c r="AQ6" s="3"/>
      <c r="AR6" s="3"/>
      <c r="AS6" s="4"/>
      <c r="AT6" t="s">
        <v>61</v>
      </c>
      <c r="AU6" t="s">
        <v>62</v>
      </c>
      <c r="AV6" t="s">
        <v>46</v>
      </c>
      <c r="AW6">
        <v>16951093</v>
      </c>
      <c r="AX6">
        <v>17095782</v>
      </c>
      <c r="AY6" t="str">
        <f>HYPERLINK("http://genome.ucsc.edu/cgi-bin/hgTracks?clade=vertebrate&amp;org=Human&amp;db=hg19&amp;position=chr10:16618302-16678302")</f>
        <v>http://genome.ucsc.edu/cgi-bin/hgTracks?clade=vertebrate&amp;org=Human&amp;db=hg19&amp;position=chr10:16618302-16678302</v>
      </c>
      <c r="AZ6" t="s">
        <v>55</v>
      </c>
      <c r="BA6">
        <v>302791</v>
      </c>
    </row>
    <row r="7" spans="1:53" s="8" customFormat="1" x14ac:dyDescent="0.2">
      <c r="A7" t="s">
        <v>102</v>
      </c>
      <c r="B7" t="s">
        <v>46</v>
      </c>
      <c r="C7">
        <v>49697710</v>
      </c>
      <c r="D7" s="24">
        <v>119</v>
      </c>
      <c r="E7" s="3"/>
      <c r="F7" s="3"/>
      <c r="G7" s="4"/>
      <c r="H7" s="3"/>
      <c r="I7" s="3"/>
      <c r="J7" s="3"/>
      <c r="K7" s="3" t="s">
        <v>51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2"/>
      <c r="AC7" s="3"/>
      <c r="AD7" s="3"/>
      <c r="AE7" s="3"/>
      <c r="AF7" s="3"/>
      <c r="AG7" s="3"/>
      <c r="AH7" s="3"/>
      <c r="AI7" s="4"/>
      <c r="AJ7" s="3"/>
      <c r="AK7" s="3"/>
      <c r="AL7" s="3"/>
      <c r="AM7" s="3"/>
      <c r="AN7" s="3"/>
      <c r="AO7" s="3"/>
      <c r="AP7" s="3"/>
      <c r="AQ7" s="3"/>
      <c r="AR7" s="3"/>
      <c r="AS7" s="4"/>
      <c r="AT7" s="7" t="s">
        <v>105</v>
      </c>
      <c r="AU7" s="7" t="s">
        <v>106</v>
      </c>
      <c r="AV7" s="7" t="s">
        <v>46</v>
      </c>
      <c r="AW7" s="7">
        <v>49696144</v>
      </c>
      <c r="AX7" s="7">
        <v>49755601</v>
      </c>
      <c r="AY7" s="7" t="str">
        <f>HYPERLINK("http://genome.ucsc.edu/cgi-bin/hgTracks?clade=vertebrate&amp;org=Human&amp;db=hg19&amp;position=chr18:49667710-49727710")</f>
        <v>http://genome.ucsc.edu/cgi-bin/hgTracks?clade=vertebrate&amp;org=Human&amp;db=hg19&amp;position=chr18:49667710-49727710</v>
      </c>
      <c r="AZ7" s="7" t="s">
        <v>49</v>
      </c>
      <c r="BA7" s="7" t="s">
        <v>107</v>
      </c>
    </row>
    <row r="8" spans="1:53" x14ac:dyDescent="0.2">
      <c r="A8" t="s">
        <v>95</v>
      </c>
      <c r="B8" t="s">
        <v>54</v>
      </c>
      <c r="C8">
        <v>10286431</v>
      </c>
      <c r="D8" s="24">
        <v>117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J8" s="3"/>
      <c r="AK8" s="3"/>
      <c r="AL8" s="3"/>
      <c r="AM8" s="3"/>
      <c r="AN8" s="3"/>
      <c r="AO8" s="3"/>
      <c r="AP8" s="3"/>
      <c r="AQ8" s="3"/>
      <c r="AR8" s="3"/>
      <c r="AS8" s="4"/>
      <c r="AT8" t="s">
        <v>96</v>
      </c>
      <c r="AU8" t="s">
        <v>97</v>
      </c>
      <c r="AV8" t="s">
        <v>46</v>
      </c>
      <c r="AW8">
        <v>10210179</v>
      </c>
      <c r="AX8">
        <v>10319361</v>
      </c>
      <c r="AY8" t="str">
        <f>HYPERLINK("http://genome.ucsc.edu/cgi-bin/hgTracks?clade=vertebrate&amp;org=Human&amp;db=hg19&amp;position=chr17:10256431-10316431")</f>
        <v>http://genome.ucsc.edu/cgi-bin/hgTracks?clade=vertebrate&amp;org=Human&amp;db=hg19&amp;position=chr17:10256431-10316431</v>
      </c>
      <c r="AZ8" t="s">
        <v>49</v>
      </c>
      <c r="BA8" t="s">
        <v>50</v>
      </c>
    </row>
    <row r="9" spans="1:53" x14ac:dyDescent="0.2">
      <c r="A9" t="s">
        <v>95</v>
      </c>
      <c r="B9" t="s">
        <v>46</v>
      </c>
      <c r="C9">
        <v>35713809</v>
      </c>
      <c r="D9" s="24">
        <v>117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J9" s="3"/>
      <c r="AK9" s="3"/>
      <c r="AL9" s="3"/>
      <c r="AM9" s="3"/>
      <c r="AN9" s="3"/>
      <c r="AO9" s="3"/>
      <c r="AP9" s="3"/>
      <c r="AQ9" s="3"/>
      <c r="AR9" s="3"/>
      <c r="AS9" s="4"/>
      <c r="AT9" t="s">
        <v>98</v>
      </c>
      <c r="AU9" t="s">
        <v>99</v>
      </c>
      <c r="AV9" t="s">
        <v>46</v>
      </c>
      <c r="AW9">
        <v>35681566</v>
      </c>
      <c r="AX9">
        <v>35704139</v>
      </c>
      <c r="AY9" t="str">
        <f>HYPERLINK("http://genome.ucsc.edu/cgi-bin/hgTracks?clade=vertebrate&amp;org=Human&amp;db=hg19&amp;position=chr17:35683809-35743809")</f>
        <v>http://genome.ucsc.edu/cgi-bin/hgTracks?clade=vertebrate&amp;org=Human&amp;db=hg19&amp;position=chr17:35683809-35743809</v>
      </c>
      <c r="AZ9" t="s">
        <v>55</v>
      </c>
      <c r="BA9">
        <v>9670</v>
      </c>
    </row>
    <row r="10" spans="1:53" x14ac:dyDescent="0.2">
      <c r="A10" t="s">
        <v>75</v>
      </c>
      <c r="B10" t="s">
        <v>54</v>
      </c>
      <c r="C10">
        <v>26426394</v>
      </c>
      <c r="D10" s="24">
        <v>106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J10" s="3"/>
      <c r="AK10" s="3"/>
      <c r="AL10" s="3"/>
      <c r="AM10" s="3"/>
      <c r="AN10" s="3"/>
      <c r="AO10" s="3"/>
      <c r="AP10" s="3"/>
      <c r="AQ10" s="3"/>
      <c r="AR10" s="3"/>
      <c r="AS10" s="4"/>
      <c r="AT10" t="s">
        <v>76</v>
      </c>
      <c r="AU10" t="s">
        <v>77</v>
      </c>
      <c r="AV10" t="s">
        <v>46</v>
      </c>
      <c r="AW10">
        <v>26283158</v>
      </c>
      <c r="AX10">
        <v>26312406</v>
      </c>
      <c r="AY10" t="str">
        <f>HYPERLINK("http://genome.ucsc.edu/cgi-bin/hgTracks?clade=vertebrate&amp;org=Human&amp;db=hg19&amp;position=chr13:26396394-26456394")</f>
        <v>http://genome.ucsc.edu/cgi-bin/hgTracks?clade=vertebrate&amp;org=Human&amp;db=hg19&amp;position=chr13:26396394-26456394</v>
      </c>
      <c r="AZ10" t="s">
        <v>55</v>
      </c>
      <c r="BA10">
        <v>113988</v>
      </c>
    </row>
    <row r="11" spans="1:53" x14ac:dyDescent="0.2">
      <c r="A11" t="s">
        <v>45</v>
      </c>
      <c r="B11" t="s">
        <v>46</v>
      </c>
      <c r="C11">
        <v>20221001</v>
      </c>
      <c r="D11" s="18">
        <v>97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J11" s="3"/>
      <c r="AK11" s="3"/>
      <c r="AL11" s="3"/>
      <c r="AM11" s="3"/>
      <c r="AN11" s="3"/>
      <c r="AO11" s="3"/>
      <c r="AP11" s="3"/>
      <c r="AQ11" s="3"/>
      <c r="AR11" s="3"/>
      <c r="AS11" s="4"/>
      <c r="AT11" t="s">
        <v>47</v>
      </c>
      <c r="AU11" t="s">
        <v>48</v>
      </c>
      <c r="AV11" t="s">
        <v>46</v>
      </c>
      <c r="AW11">
        <v>20057778</v>
      </c>
      <c r="AX11">
        <v>20618057</v>
      </c>
      <c r="AY11" t="str">
        <f>HYPERLINK("http://genome.ucsc.edu/cgi-bin/hgTracks?clade=vertebrate&amp;org=Human&amp;db=hg19&amp;position=chr1:20191001-20251001")</f>
        <v>http://genome.ucsc.edu/cgi-bin/hgTracks?clade=vertebrate&amp;org=Human&amp;db=hg19&amp;position=chr1:20191001-20251001</v>
      </c>
      <c r="AZ11" t="s">
        <v>49</v>
      </c>
      <c r="BA11" t="s">
        <v>50</v>
      </c>
    </row>
    <row r="12" spans="1:53" x14ac:dyDescent="0.2">
      <c r="A12" t="s">
        <v>90</v>
      </c>
      <c r="B12" t="s">
        <v>54</v>
      </c>
      <c r="C12">
        <v>77463313</v>
      </c>
      <c r="D12" s="18">
        <v>93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J12" s="3"/>
      <c r="AK12" s="3"/>
      <c r="AL12" s="3"/>
      <c r="AM12" s="3"/>
      <c r="AN12" s="3"/>
      <c r="AO12" s="3"/>
      <c r="AP12" s="3"/>
      <c r="AQ12" s="3"/>
      <c r="AR12" s="3"/>
      <c r="AS12" s="4"/>
      <c r="AT12" t="s">
        <v>93</v>
      </c>
      <c r="AU12" t="s">
        <v>94</v>
      </c>
      <c r="AV12" t="s">
        <v>54</v>
      </c>
      <c r="AW12">
        <v>77329327</v>
      </c>
      <c r="AX12">
        <v>77558428</v>
      </c>
      <c r="AY12" t="str">
        <f>HYPERLINK("http://genome.ucsc.edu/cgi-bin/hgTracks?clade=vertebrate&amp;org=Human&amp;db=hg19&amp;position=chr16:77433313-77493313")</f>
        <v>http://genome.ucsc.edu/cgi-bin/hgTracks?clade=vertebrate&amp;org=Human&amp;db=hg19&amp;position=chr16:77433313-77493313</v>
      </c>
      <c r="AZ12" t="s">
        <v>49</v>
      </c>
      <c r="BA12" t="s">
        <v>50</v>
      </c>
    </row>
    <row r="13" spans="1:53" x14ac:dyDescent="0.2">
      <c r="A13" t="s">
        <v>90</v>
      </c>
      <c r="B13" t="s">
        <v>54</v>
      </c>
      <c r="C13">
        <v>42802811</v>
      </c>
      <c r="D13" s="18">
        <v>89</v>
      </c>
      <c r="F13" s="3" t="s">
        <v>51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J13" s="3"/>
      <c r="AK13" s="3"/>
      <c r="AL13" s="3"/>
      <c r="AM13" s="3"/>
      <c r="AN13" s="3"/>
      <c r="AO13" s="3"/>
      <c r="AP13" s="3"/>
      <c r="AQ13" s="3"/>
      <c r="AR13" s="3"/>
      <c r="AS13" s="4"/>
      <c r="AT13" t="s">
        <v>91</v>
      </c>
      <c r="AU13" t="s">
        <v>92</v>
      </c>
      <c r="AV13" t="s">
        <v>46</v>
      </c>
      <c r="AW13">
        <v>42725701</v>
      </c>
      <c r="AX13">
        <v>42875587</v>
      </c>
      <c r="AY13" t="str">
        <f>HYPERLINK("http://genome.ucsc.edu/cgi-bin/hgTracks?clade=vertebrate&amp;org=Human&amp;db=hg19&amp;position=chr16:42772811-42832811")</f>
        <v>http://genome.ucsc.edu/cgi-bin/hgTracks?clade=vertebrate&amp;org=Human&amp;db=hg19&amp;position=chr16:42772811-42832811</v>
      </c>
      <c r="AZ13" t="s">
        <v>49</v>
      </c>
      <c r="BA13" t="s">
        <v>50</v>
      </c>
    </row>
    <row r="14" spans="1:53" s="7" customFormat="1" x14ac:dyDescent="0.2">
      <c r="A14" t="s">
        <v>90</v>
      </c>
      <c r="B14" t="s">
        <v>54</v>
      </c>
      <c r="C14">
        <v>77463311</v>
      </c>
      <c r="D14" s="25">
        <v>26</v>
      </c>
      <c r="E14" s="3"/>
      <c r="F14" s="3"/>
      <c r="G14" s="4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2"/>
      <c r="AC14" s="3"/>
      <c r="AD14" s="3"/>
      <c r="AE14" s="3"/>
      <c r="AF14" s="3"/>
      <c r="AG14" s="3"/>
      <c r="AH14" s="3"/>
      <c r="AI14" s="4"/>
      <c r="AJ14" s="3"/>
      <c r="AK14" s="3"/>
      <c r="AL14" s="3"/>
      <c r="AM14" s="3"/>
      <c r="AN14" s="3"/>
      <c r="AO14" s="3"/>
      <c r="AP14" s="3"/>
      <c r="AQ14" s="3"/>
      <c r="AR14" s="3"/>
      <c r="AS14" s="4"/>
      <c r="AT14" t="s">
        <v>93</v>
      </c>
      <c r="AU14" t="s">
        <v>94</v>
      </c>
      <c r="AV14" t="s">
        <v>54</v>
      </c>
      <c r="AW14">
        <v>77329327</v>
      </c>
      <c r="AX14">
        <v>77558428</v>
      </c>
      <c r="AY14" t="str">
        <f>HYPERLINK("http://genome.ucsc.edu/cgi-bin/hgTracks?clade=vertebrate&amp;org=Human&amp;db=hg19&amp;position=chr16:77433311-77493311")</f>
        <v>http://genome.ucsc.edu/cgi-bin/hgTracks?clade=vertebrate&amp;org=Human&amp;db=hg19&amp;position=chr16:77433311-77493311</v>
      </c>
      <c r="AZ14" t="s">
        <v>49</v>
      </c>
      <c r="BA14" t="s">
        <v>50</v>
      </c>
    </row>
    <row r="15" spans="1:53" x14ac:dyDescent="0.2">
      <c r="A15" s="8" t="s">
        <v>108</v>
      </c>
      <c r="B15" s="8" t="s">
        <v>46</v>
      </c>
      <c r="C15" s="8">
        <v>156176999</v>
      </c>
      <c r="D15" s="10"/>
      <c r="E15" s="9" t="s">
        <v>51</v>
      </c>
      <c r="F15" s="9" t="s">
        <v>51</v>
      </c>
      <c r="G15" s="11" t="s">
        <v>51</v>
      </c>
      <c r="H15" s="9" t="s">
        <v>51</v>
      </c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 t="s">
        <v>51</v>
      </c>
      <c r="V15" s="9" t="s">
        <v>51</v>
      </c>
      <c r="W15" s="9" t="s">
        <v>51</v>
      </c>
      <c r="X15" s="9"/>
      <c r="Y15" s="9"/>
      <c r="Z15" s="9"/>
      <c r="AA15" s="9"/>
      <c r="AB15" s="10"/>
      <c r="AC15" s="9" t="s">
        <v>51</v>
      </c>
      <c r="AD15" s="9"/>
      <c r="AE15" s="9" t="s">
        <v>51</v>
      </c>
      <c r="AF15" s="9" t="s">
        <v>51</v>
      </c>
      <c r="AG15" s="9"/>
      <c r="AH15" s="9"/>
      <c r="AI15" s="11"/>
      <c r="AJ15" s="13">
        <v>192</v>
      </c>
      <c r="AK15" s="13">
        <v>149</v>
      </c>
      <c r="AL15" s="15">
        <v>27</v>
      </c>
      <c r="AM15" s="9"/>
      <c r="AN15" s="13">
        <v>155</v>
      </c>
      <c r="AO15" s="9"/>
      <c r="AP15" s="13">
        <v>113</v>
      </c>
      <c r="AQ15" s="13">
        <v>191</v>
      </c>
      <c r="AR15" s="13">
        <v>117</v>
      </c>
      <c r="AS15" s="11"/>
      <c r="AT15" s="8" t="s">
        <v>121</v>
      </c>
      <c r="AU15" s="8" t="s">
        <v>122</v>
      </c>
      <c r="AV15" s="8" t="s">
        <v>46</v>
      </c>
      <c r="AW15" s="8">
        <v>156147240</v>
      </c>
      <c r="AX15" s="8">
        <v>156180238</v>
      </c>
      <c r="AY15" s="8" t="str">
        <f>HYPERLINK("http://genome.ucsc.edu/cgi-bin/hgTracks?clade=vertebrate&amp;org=Human&amp;db=hg19&amp;position=chr2:156146999-156206999")</f>
        <v>http://genome.ucsc.edu/cgi-bin/hgTracks?clade=vertebrate&amp;org=Human&amp;db=hg19&amp;position=chr2:156146999-156206999</v>
      </c>
      <c r="AZ15" s="8" t="s">
        <v>49</v>
      </c>
      <c r="BA15" s="8" t="s">
        <v>50</v>
      </c>
    </row>
    <row r="16" spans="1:53" x14ac:dyDescent="0.2">
      <c r="A16" t="s">
        <v>150</v>
      </c>
      <c r="B16" t="s">
        <v>54</v>
      </c>
      <c r="C16">
        <v>89096271</v>
      </c>
      <c r="E16" s="3" t="s">
        <v>51</v>
      </c>
      <c r="F16" s="3" t="s">
        <v>51</v>
      </c>
      <c r="G16" s="4" t="s">
        <v>51</v>
      </c>
      <c r="H16" s="14">
        <v>198</v>
      </c>
      <c r="I16" s="3" t="s">
        <v>51</v>
      </c>
      <c r="J16" s="14">
        <v>187</v>
      </c>
      <c r="K16" s="3"/>
      <c r="L16" s="14">
        <v>200</v>
      </c>
      <c r="M16" s="14">
        <v>260</v>
      </c>
      <c r="N16" s="14">
        <v>174</v>
      </c>
      <c r="O16" s="3" t="s">
        <v>51</v>
      </c>
      <c r="P16" s="14">
        <v>251</v>
      </c>
      <c r="Q16" s="14">
        <v>216</v>
      </c>
      <c r="R16" s="14">
        <v>178</v>
      </c>
      <c r="S16" s="3" t="s">
        <v>51</v>
      </c>
      <c r="T16" s="14">
        <v>223</v>
      </c>
      <c r="U16" s="3" t="s">
        <v>51</v>
      </c>
      <c r="V16" s="14">
        <v>200</v>
      </c>
      <c r="W16" s="14">
        <v>157</v>
      </c>
      <c r="X16" s="3" t="s">
        <v>51</v>
      </c>
      <c r="Y16" s="14">
        <v>193</v>
      </c>
      <c r="Z16" s="14">
        <v>173</v>
      </c>
      <c r="AA16" s="14">
        <v>199</v>
      </c>
      <c r="AB16" s="2" t="s">
        <v>51</v>
      </c>
      <c r="AC16" s="3" t="s">
        <v>51</v>
      </c>
      <c r="AJ16" s="3"/>
      <c r="AK16" s="3"/>
      <c r="AL16" s="3"/>
      <c r="AM16" s="3"/>
      <c r="AN16" s="3"/>
      <c r="AO16" s="3" t="s">
        <v>51</v>
      </c>
      <c r="AP16" s="3"/>
      <c r="AQ16" s="3"/>
      <c r="AR16" s="3"/>
      <c r="AS16" s="4"/>
      <c r="AT16" t="s">
        <v>153</v>
      </c>
      <c r="AU16" t="s">
        <v>154</v>
      </c>
      <c r="AV16" t="s">
        <v>54</v>
      </c>
      <c r="AW16">
        <v>89096114</v>
      </c>
      <c r="AX16">
        <v>89110037</v>
      </c>
      <c r="AY16" t="str">
        <f>HYPERLINK("http://genome.ucsc.edu/cgi-bin/hgTracks?clade=vertebrate&amp;org=Human&amp;db=hg19&amp;position=chr6:89066271-89126271")</f>
        <v>http://genome.ucsc.edu/cgi-bin/hgTracks?clade=vertebrate&amp;org=Human&amp;db=hg19&amp;position=chr6:89066271-89126271</v>
      </c>
      <c r="AZ16" t="s">
        <v>49</v>
      </c>
      <c r="BA16" t="s">
        <v>50</v>
      </c>
    </row>
    <row r="17" spans="1:53" x14ac:dyDescent="0.2">
      <c r="A17" t="s">
        <v>155</v>
      </c>
      <c r="B17" t="s">
        <v>54</v>
      </c>
      <c r="C17">
        <v>90181473</v>
      </c>
      <c r="F17" s="3" t="s">
        <v>51</v>
      </c>
      <c r="H17" s="3"/>
      <c r="I17" s="3" t="s">
        <v>51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 t="s">
        <v>51</v>
      </c>
      <c r="Y17" s="3"/>
      <c r="Z17" s="3"/>
      <c r="AA17" s="3"/>
      <c r="AJ17" s="3"/>
      <c r="AK17" s="3"/>
      <c r="AL17" s="3"/>
      <c r="AM17" s="3"/>
      <c r="AN17" s="3"/>
      <c r="AO17" s="14">
        <v>115</v>
      </c>
      <c r="AP17" s="3"/>
      <c r="AQ17" s="3"/>
      <c r="AR17" s="3"/>
      <c r="AS17" s="12">
        <v>253</v>
      </c>
      <c r="AT17" t="s">
        <v>160</v>
      </c>
      <c r="AU17" t="s">
        <v>161</v>
      </c>
      <c r="AV17" t="s">
        <v>54</v>
      </c>
      <c r="AW17">
        <v>90130231</v>
      </c>
      <c r="AX17">
        <v>90209447</v>
      </c>
      <c r="AY17" t="str">
        <f>HYPERLINK("http://genome.ucsc.edu/cgi-bin/hgTracks?clade=vertebrate&amp;org=Human&amp;db=hg19&amp;position=chr7:90151473-90211473")</f>
        <v>http://genome.ucsc.edu/cgi-bin/hgTracks?clade=vertebrate&amp;org=Human&amp;db=hg19&amp;position=chr7:90151473-90211473</v>
      </c>
      <c r="AZ17" t="s">
        <v>49</v>
      </c>
      <c r="BA17" t="s">
        <v>50</v>
      </c>
    </row>
    <row r="18" spans="1:53" x14ac:dyDescent="0.2">
      <c r="A18" t="s">
        <v>45</v>
      </c>
      <c r="B18" t="s">
        <v>54</v>
      </c>
      <c r="C18">
        <v>97720968</v>
      </c>
      <c r="F18" s="13">
        <v>188</v>
      </c>
      <c r="H18" s="3"/>
      <c r="I18" s="3"/>
      <c r="J18" s="3"/>
      <c r="K18" s="3"/>
      <c r="L18" s="3"/>
      <c r="M18" s="3" t="s">
        <v>51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J18" s="3"/>
      <c r="AK18" s="3"/>
      <c r="AL18" s="3"/>
      <c r="AM18" s="3"/>
      <c r="AN18" s="3"/>
      <c r="AO18" s="3"/>
      <c r="AP18" s="3"/>
      <c r="AQ18" s="3"/>
      <c r="AR18" s="3"/>
      <c r="AS18" s="4"/>
      <c r="AT18" t="s">
        <v>56</v>
      </c>
      <c r="AU18" t="s">
        <v>57</v>
      </c>
      <c r="AV18" t="s">
        <v>46</v>
      </c>
      <c r="AW18">
        <v>97706042</v>
      </c>
      <c r="AX18">
        <v>97770092</v>
      </c>
      <c r="AY18" t="str">
        <f>HYPERLINK("http://genome.ucsc.edu/cgi-bin/hgTracks?clade=vertebrate&amp;org=Human&amp;db=hg19&amp;position=chr1:97690968-97750968")</f>
        <v>http://genome.ucsc.edu/cgi-bin/hgTracks?clade=vertebrate&amp;org=Human&amp;db=hg19&amp;position=chr1:97690968-97750968</v>
      </c>
      <c r="AZ18" t="s">
        <v>49</v>
      </c>
      <c r="BA18" t="s">
        <v>50</v>
      </c>
    </row>
    <row r="19" spans="1:53" x14ac:dyDescent="0.2">
      <c r="A19" t="s">
        <v>72</v>
      </c>
      <c r="B19" t="s">
        <v>46</v>
      </c>
      <c r="C19">
        <v>103583721</v>
      </c>
      <c r="F19" s="13">
        <v>160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J19" s="3"/>
      <c r="AK19" s="3"/>
      <c r="AL19" s="3"/>
      <c r="AM19" s="3"/>
      <c r="AN19" s="3"/>
      <c r="AO19" s="3"/>
      <c r="AP19" s="3"/>
      <c r="AQ19" s="3"/>
      <c r="AR19" s="3"/>
      <c r="AS19" s="4"/>
      <c r="AT19" t="s">
        <v>73</v>
      </c>
      <c r="AU19" t="s">
        <v>74</v>
      </c>
      <c r="AV19" t="s">
        <v>54</v>
      </c>
      <c r="AW19">
        <v>103532564</v>
      </c>
      <c r="AX19">
        <v>103613832</v>
      </c>
      <c r="AY19" t="str">
        <f>HYPERLINK("http://genome.ucsc.edu/cgi-bin/hgTracks?clade=vertebrate&amp;org=Human&amp;db=hg19&amp;position=chr12:103553721-103613721")</f>
        <v>http://genome.ucsc.edu/cgi-bin/hgTracks?clade=vertebrate&amp;org=Human&amp;db=hg19&amp;position=chr12:103553721-103613721</v>
      </c>
      <c r="AZ19" t="s">
        <v>49</v>
      </c>
      <c r="BA19" t="s">
        <v>50</v>
      </c>
    </row>
    <row r="20" spans="1:53" x14ac:dyDescent="0.2">
      <c r="A20" t="s">
        <v>155</v>
      </c>
      <c r="B20" t="s">
        <v>46</v>
      </c>
      <c r="C20">
        <v>81401462</v>
      </c>
      <c r="F20" s="13">
        <v>137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J20" s="3"/>
      <c r="AK20" s="3"/>
      <c r="AL20" s="3"/>
      <c r="AM20" s="3"/>
      <c r="AN20" s="3"/>
      <c r="AO20" s="3"/>
      <c r="AP20" s="3"/>
      <c r="AQ20" s="3"/>
      <c r="AR20" s="3"/>
      <c r="AS20" s="4"/>
      <c r="AT20" t="s">
        <v>156</v>
      </c>
      <c r="AU20" t="s">
        <v>157</v>
      </c>
      <c r="AV20" t="s">
        <v>46</v>
      </c>
      <c r="AW20">
        <v>81347025</v>
      </c>
      <c r="AX20">
        <v>81454758</v>
      </c>
      <c r="AY20" t="str">
        <f>HYPERLINK("http://genome.ucsc.edu/cgi-bin/hgTracks?clade=vertebrate&amp;org=Human&amp;db=hg19&amp;position=chr7:81371462-81431462")</f>
        <v>http://genome.ucsc.edu/cgi-bin/hgTracks?clade=vertebrate&amp;org=Human&amp;db=hg19&amp;position=chr7:81371462-81431462</v>
      </c>
      <c r="AZ20" t="s">
        <v>49</v>
      </c>
      <c r="BA20" t="s">
        <v>50</v>
      </c>
    </row>
    <row r="21" spans="1:53" x14ac:dyDescent="0.2">
      <c r="A21" t="s">
        <v>108</v>
      </c>
      <c r="B21" t="s">
        <v>54</v>
      </c>
      <c r="C21">
        <v>154805268</v>
      </c>
      <c r="F21" s="13">
        <v>103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J21" s="3"/>
      <c r="AK21" s="3"/>
      <c r="AL21" s="3"/>
      <c r="AM21" s="3"/>
      <c r="AN21" s="3"/>
      <c r="AO21" s="3"/>
      <c r="AP21" s="3"/>
      <c r="AQ21" s="3"/>
      <c r="AR21" s="3"/>
      <c r="AS21" s="4"/>
      <c r="AT21" t="s">
        <v>119</v>
      </c>
      <c r="AU21" t="s">
        <v>120</v>
      </c>
      <c r="AV21" t="s">
        <v>54</v>
      </c>
      <c r="AW21">
        <v>154791109</v>
      </c>
      <c r="AX21">
        <v>154867261</v>
      </c>
      <c r="AY21" t="str">
        <f>HYPERLINK("http://genome.ucsc.edu/cgi-bin/hgTracks?clade=vertebrate&amp;org=Human&amp;db=hg19&amp;position=chr2:154775268-154835268")</f>
        <v>http://genome.ucsc.edu/cgi-bin/hgTracks?clade=vertebrate&amp;org=Human&amp;db=hg19&amp;position=chr2:154775268-154835268</v>
      </c>
      <c r="AZ21" t="s">
        <v>49</v>
      </c>
      <c r="BA21" t="s">
        <v>50</v>
      </c>
    </row>
    <row r="22" spans="1:53" x14ac:dyDescent="0.2">
      <c r="A22" t="s">
        <v>75</v>
      </c>
      <c r="B22" t="s">
        <v>54</v>
      </c>
      <c r="C22">
        <v>56709599</v>
      </c>
      <c r="H22" s="3" t="s">
        <v>51</v>
      </c>
      <c r="I22" s="3"/>
      <c r="J22" s="3"/>
      <c r="K22" s="3"/>
      <c r="L22" s="3"/>
      <c r="M22" s="3"/>
      <c r="N22" s="3"/>
      <c r="O22" s="3" t="s">
        <v>51</v>
      </c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 t="s">
        <v>51</v>
      </c>
      <c r="AC22" s="14">
        <v>239</v>
      </c>
      <c r="AJ22" s="3"/>
      <c r="AK22" s="3"/>
      <c r="AL22" s="3"/>
      <c r="AM22" s="3"/>
      <c r="AN22" s="3"/>
      <c r="AO22" s="3"/>
      <c r="AP22" s="3"/>
      <c r="AQ22" s="3"/>
      <c r="AR22" s="3"/>
      <c r="AS22" s="4"/>
      <c r="AT22" t="s">
        <v>78</v>
      </c>
      <c r="AU22" t="s">
        <v>79</v>
      </c>
      <c r="AV22" t="s">
        <v>54</v>
      </c>
      <c r="AW22">
        <v>56703051</v>
      </c>
      <c r="AX22">
        <v>56742378</v>
      </c>
      <c r="AY22" t="str">
        <f>HYPERLINK("http://genome.ucsc.edu/cgi-bin/hgTracks?clade=vertebrate&amp;org=Human&amp;db=hg19&amp;position=chr13:56679599-56739599")</f>
        <v>http://genome.ucsc.edu/cgi-bin/hgTracks?clade=vertebrate&amp;org=Human&amp;db=hg19&amp;position=chr13:56679599-56739599</v>
      </c>
      <c r="AZ22" t="s">
        <v>49</v>
      </c>
      <c r="BA22" t="s">
        <v>50</v>
      </c>
    </row>
    <row r="23" spans="1:53" x14ac:dyDescent="0.2">
      <c r="A23" t="s">
        <v>45</v>
      </c>
      <c r="B23" t="s">
        <v>46</v>
      </c>
      <c r="C23">
        <v>111857104</v>
      </c>
      <c r="H23" s="3"/>
      <c r="I23" s="3" t="s">
        <v>51</v>
      </c>
      <c r="J23" s="3"/>
      <c r="K23" s="3"/>
      <c r="L23" s="3"/>
      <c r="M23" s="3"/>
      <c r="N23" s="3"/>
      <c r="O23" s="3"/>
      <c r="P23" s="3" t="s">
        <v>51</v>
      </c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D23" s="14">
        <v>220</v>
      </c>
      <c r="AJ23" s="3"/>
      <c r="AK23" s="3"/>
      <c r="AL23" s="3"/>
      <c r="AM23" s="3"/>
      <c r="AN23" s="3"/>
      <c r="AO23" s="3"/>
      <c r="AP23" s="3"/>
      <c r="AQ23" s="3"/>
      <c r="AR23" s="3" t="s">
        <v>51</v>
      </c>
      <c r="AS23" s="4"/>
      <c r="AT23" t="s">
        <v>58</v>
      </c>
      <c r="AU23" t="s">
        <v>59</v>
      </c>
      <c r="AV23" t="s">
        <v>46</v>
      </c>
      <c r="AW23">
        <v>111858701</v>
      </c>
      <c r="AX23">
        <v>111864918</v>
      </c>
      <c r="AY23" t="str">
        <f>HYPERLINK("http://genome.ucsc.edu/cgi-bin/hgTracks?clade=vertebrate&amp;org=Human&amp;db=hg19&amp;position=chr1:111827104-111887104")</f>
        <v>http://genome.ucsc.edu/cgi-bin/hgTracks?clade=vertebrate&amp;org=Human&amp;db=hg19&amp;position=chr1:111827104-111887104</v>
      </c>
      <c r="AZ23" t="s">
        <v>55</v>
      </c>
      <c r="BA23">
        <v>1597</v>
      </c>
    </row>
    <row r="24" spans="1:53" x14ac:dyDescent="0.2">
      <c r="A24" t="s">
        <v>95</v>
      </c>
      <c r="B24" t="s">
        <v>46</v>
      </c>
      <c r="C24">
        <v>61770284</v>
      </c>
      <c r="H24" s="3"/>
      <c r="I24" s="3" t="s">
        <v>51</v>
      </c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D24" s="14">
        <v>225</v>
      </c>
      <c r="AJ24" s="3"/>
      <c r="AK24" s="3"/>
      <c r="AL24" s="3"/>
      <c r="AM24" s="3"/>
      <c r="AN24" s="3"/>
      <c r="AO24" s="3"/>
      <c r="AP24" s="3"/>
      <c r="AQ24" s="3"/>
      <c r="AR24" s="3" t="s">
        <v>51</v>
      </c>
      <c r="AS24" s="4"/>
      <c r="AT24" t="s">
        <v>100</v>
      </c>
      <c r="AU24" t="s">
        <v>101</v>
      </c>
      <c r="AV24" t="s">
        <v>46</v>
      </c>
      <c r="AW24">
        <v>62602956</v>
      </c>
      <c r="AX24">
        <v>62881317</v>
      </c>
      <c r="AY24" t="str">
        <f>HYPERLINK("http://genome.ucsc.edu/cgi-bin/hgTracks?clade=vertebrate&amp;org=Human&amp;db=hg19&amp;position=chr17:61740284-61800284")</f>
        <v>http://genome.ucsc.edu/cgi-bin/hgTracks?clade=vertebrate&amp;org=Human&amp;db=hg19&amp;position=chr17:61740284-61800284</v>
      </c>
      <c r="AZ24" t="s">
        <v>55</v>
      </c>
      <c r="BA24">
        <v>832672</v>
      </c>
    </row>
    <row r="25" spans="1:53" x14ac:dyDescent="0.2">
      <c r="A25" t="s">
        <v>141</v>
      </c>
      <c r="B25" t="s">
        <v>54</v>
      </c>
      <c r="C25">
        <v>147510200</v>
      </c>
      <c r="H25" s="3"/>
      <c r="I25" s="14">
        <v>103</v>
      </c>
      <c r="J25" s="3"/>
      <c r="K25" s="14">
        <v>83</v>
      </c>
      <c r="L25" s="3"/>
      <c r="M25" s="3"/>
      <c r="N25" s="3"/>
      <c r="O25" s="3"/>
      <c r="P25" s="3"/>
      <c r="Q25" s="3"/>
      <c r="R25" s="3"/>
      <c r="S25" s="14">
        <v>96</v>
      </c>
      <c r="T25" s="3"/>
      <c r="U25" s="3"/>
      <c r="V25" s="3"/>
      <c r="W25" s="3"/>
      <c r="X25" s="14">
        <v>110</v>
      </c>
      <c r="Y25" s="3"/>
      <c r="Z25" s="3"/>
      <c r="AA25" s="3"/>
      <c r="AJ25" s="3"/>
      <c r="AK25" s="3"/>
      <c r="AL25" s="3"/>
      <c r="AM25" s="3"/>
      <c r="AN25" s="3"/>
      <c r="AO25" s="3"/>
      <c r="AP25" s="3"/>
      <c r="AQ25" s="3"/>
      <c r="AR25" s="3"/>
      <c r="AS25" s="4"/>
      <c r="AT25" t="s">
        <v>148</v>
      </c>
      <c r="AU25" t="s">
        <v>149</v>
      </c>
      <c r="AV25" t="s">
        <v>54</v>
      </c>
      <c r="AW25">
        <v>147430579</v>
      </c>
      <c r="AX25">
        <v>147548501</v>
      </c>
      <c r="AY25" t="str">
        <f>HYPERLINK("http://genome.ucsc.edu/cgi-bin/hgTracks?clade=vertebrate&amp;org=Human&amp;db=hg19&amp;position=chr5:147480200-147540200")</f>
        <v>http://genome.ucsc.edu/cgi-bin/hgTracks?clade=vertebrate&amp;org=Human&amp;db=hg19&amp;position=chr5:147480200-147540200</v>
      </c>
      <c r="AZ25" t="s">
        <v>49</v>
      </c>
      <c r="BA25" t="s">
        <v>50</v>
      </c>
    </row>
    <row r="26" spans="1:53" x14ac:dyDescent="0.2">
      <c r="A26" t="s">
        <v>150</v>
      </c>
      <c r="B26" t="s">
        <v>46</v>
      </c>
      <c r="C26">
        <v>56716752</v>
      </c>
      <c r="H26" s="3"/>
      <c r="I26" s="3"/>
      <c r="J26" s="3"/>
      <c r="K26" s="3"/>
      <c r="L26" s="3"/>
      <c r="M26" s="3" t="s">
        <v>51</v>
      </c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H26" s="14">
        <v>88</v>
      </c>
      <c r="AJ26" s="3"/>
      <c r="AK26" s="3"/>
      <c r="AL26" s="3"/>
      <c r="AM26" s="3"/>
      <c r="AN26" s="3"/>
      <c r="AO26" s="3"/>
      <c r="AP26" s="3"/>
      <c r="AQ26" s="3"/>
      <c r="AR26" s="3"/>
      <c r="AS26" s="4"/>
      <c r="AT26" t="s">
        <v>151</v>
      </c>
      <c r="AU26" t="s">
        <v>152</v>
      </c>
      <c r="AV26" t="s">
        <v>54</v>
      </c>
      <c r="AW26">
        <v>56714904</v>
      </c>
      <c r="AX26">
        <v>56761911</v>
      </c>
      <c r="AY26" t="str">
        <f>HYPERLINK("http://genome.ucsc.edu/cgi-bin/hgTracks?clade=vertebrate&amp;org=Human&amp;db=hg19&amp;position=chr6:56686752-56746752")</f>
        <v>http://genome.ucsc.edu/cgi-bin/hgTracks?clade=vertebrate&amp;org=Human&amp;db=hg19&amp;position=chr6:56686752-56746752</v>
      </c>
      <c r="AZ26" t="s">
        <v>49</v>
      </c>
      <c r="BA26" t="s">
        <v>50</v>
      </c>
    </row>
    <row r="27" spans="1:53" x14ac:dyDescent="0.2">
      <c r="A27" t="s">
        <v>108</v>
      </c>
      <c r="B27" t="s">
        <v>54</v>
      </c>
      <c r="C27">
        <v>112383779</v>
      </c>
      <c r="H27" s="3"/>
      <c r="I27" s="3"/>
      <c r="J27" s="3"/>
      <c r="K27" s="3"/>
      <c r="L27" s="3"/>
      <c r="M27" s="3"/>
      <c r="N27" s="3"/>
      <c r="O27" s="19">
        <v>122</v>
      </c>
      <c r="P27" s="3"/>
      <c r="Q27" s="3"/>
      <c r="R27" s="3"/>
      <c r="S27" s="3"/>
      <c r="T27" s="3"/>
      <c r="U27" s="3"/>
      <c r="V27" s="3" t="s">
        <v>51</v>
      </c>
      <c r="W27" s="3"/>
      <c r="X27" s="3"/>
      <c r="Y27" s="3"/>
      <c r="Z27" s="3"/>
      <c r="AA27" s="3"/>
      <c r="AJ27" s="3"/>
      <c r="AK27" s="3"/>
      <c r="AL27" s="3"/>
      <c r="AM27" s="3"/>
      <c r="AN27" s="3"/>
      <c r="AO27" s="3"/>
      <c r="AP27" s="3"/>
      <c r="AQ27" s="3"/>
      <c r="AR27" s="3"/>
      <c r="AS27" s="4"/>
      <c r="AT27" t="s">
        <v>117</v>
      </c>
      <c r="AU27" t="s">
        <v>118</v>
      </c>
      <c r="AV27" t="s">
        <v>54</v>
      </c>
      <c r="AW27">
        <v>112379210</v>
      </c>
      <c r="AX27">
        <v>112414237</v>
      </c>
      <c r="AY27" t="str">
        <f>HYPERLINK("http://genome.ucsc.edu/cgi-bin/hgTracks?clade=vertebrate&amp;org=Human&amp;db=hg19&amp;position=chr2:112353779-112413779")</f>
        <v>http://genome.ucsc.edu/cgi-bin/hgTracks?clade=vertebrate&amp;org=Human&amp;db=hg19&amp;position=chr2:112353779-112413779</v>
      </c>
      <c r="AZ27" t="s">
        <v>49</v>
      </c>
      <c r="BA27" t="s">
        <v>50</v>
      </c>
    </row>
    <row r="28" spans="1:53" x14ac:dyDescent="0.2">
      <c r="A28" t="s">
        <v>125</v>
      </c>
      <c r="B28" t="s">
        <v>54</v>
      </c>
      <c r="C28">
        <v>69010664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 t="s">
        <v>51</v>
      </c>
      <c r="S28" s="3"/>
      <c r="T28" s="3"/>
      <c r="U28" s="3"/>
      <c r="V28" s="3"/>
      <c r="W28" s="3"/>
      <c r="X28" s="3"/>
      <c r="Y28" s="3"/>
      <c r="Z28" s="3"/>
      <c r="AA28" s="3"/>
      <c r="AF28" s="14">
        <v>195</v>
      </c>
      <c r="AI28" s="4" t="s">
        <v>51</v>
      </c>
      <c r="AJ28" s="3"/>
      <c r="AK28" s="3"/>
      <c r="AL28" s="3"/>
      <c r="AM28" s="3"/>
      <c r="AN28" s="3"/>
      <c r="AO28" s="3"/>
      <c r="AP28" s="3"/>
      <c r="AQ28" s="3"/>
      <c r="AR28" s="3"/>
      <c r="AS28" s="4"/>
      <c r="AT28" t="s">
        <v>128</v>
      </c>
      <c r="AU28" t="s">
        <v>129</v>
      </c>
      <c r="AV28" t="s">
        <v>54</v>
      </c>
      <c r="AW28">
        <v>69004971</v>
      </c>
      <c r="AX28">
        <v>69034623</v>
      </c>
      <c r="AY28" t="str">
        <f>HYPERLINK("http://genome.ucsc.edu/cgi-bin/hgTracks?clade=vertebrate&amp;org=Human&amp;db=hg19&amp;position=chr3:68980664-69040664")</f>
        <v>http://genome.ucsc.edu/cgi-bin/hgTracks?clade=vertebrate&amp;org=Human&amp;db=hg19&amp;position=chr3:68980664-69040664</v>
      </c>
      <c r="AZ28" t="s">
        <v>49</v>
      </c>
      <c r="BA28" t="s">
        <v>50</v>
      </c>
    </row>
    <row r="29" spans="1:53" x14ac:dyDescent="0.2">
      <c r="A29" t="s">
        <v>108</v>
      </c>
      <c r="B29" t="s">
        <v>54</v>
      </c>
      <c r="C29">
        <v>5878284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 t="s">
        <v>51</v>
      </c>
      <c r="U29" s="3"/>
      <c r="V29" s="3"/>
      <c r="W29" s="3"/>
      <c r="X29" s="3"/>
      <c r="Y29" s="3"/>
      <c r="Z29" s="3"/>
      <c r="AA29" s="3" t="s">
        <v>51</v>
      </c>
      <c r="AH29" s="14">
        <v>90</v>
      </c>
      <c r="AJ29" s="3"/>
      <c r="AK29" s="3"/>
      <c r="AL29" s="3"/>
      <c r="AM29" s="3"/>
      <c r="AN29" s="3"/>
      <c r="AO29" s="3" t="s">
        <v>51</v>
      </c>
      <c r="AP29" s="3"/>
      <c r="AQ29" s="3"/>
      <c r="AR29" s="3"/>
      <c r="AS29" s="4"/>
      <c r="AT29" t="s">
        <v>109</v>
      </c>
      <c r="AU29" t="s">
        <v>110</v>
      </c>
      <c r="AV29" t="s">
        <v>46</v>
      </c>
      <c r="AW29">
        <v>5870986</v>
      </c>
      <c r="AX29">
        <v>5895353</v>
      </c>
      <c r="AY29" t="str">
        <f>HYPERLINK("http://genome.ucsc.edu/cgi-bin/hgTracks?clade=vertebrate&amp;org=Human&amp;db=hg19&amp;position=chr2:5848284-5908284")</f>
        <v>http://genome.ucsc.edu/cgi-bin/hgTracks?clade=vertebrate&amp;org=Human&amp;db=hg19&amp;position=chr2:5848284-5908284</v>
      </c>
      <c r="AZ29" t="s">
        <v>49</v>
      </c>
      <c r="BA29" t="s">
        <v>50</v>
      </c>
    </row>
    <row r="30" spans="1:53" x14ac:dyDescent="0.2">
      <c r="A30" t="s">
        <v>60</v>
      </c>
      <c r="B30" t="s">
        <v>46</v>
      </c>
      <c r="C30">
        <v>24508814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14">
        <v>165</v>
      </c>
      <c r="V30" s="3"/>
      <c r="W30" s="3"/>
      <c r="X30" s="3"/>
      <c r="Y30" s="3"/>
      <c r="Z30" s="3"/>
      <c r="AA30" s="3"/>
      <c r="AJ30" s="3"/>
      <c r="AK30" s="3"/>
      <c r="AL30" s="3"/>
      <c r="AM30" s="3"/>
      <c r="AN30" s="3"/>
      <c r="AO30" s="3"/>
      <c r="AP30" s="3"/>
      <c r="AQ30" s="3"/>
      <c r="AR30" s="3"/>
      <c r="AS30" s="4"/>
      <c r="AT30" t="s">
        <v>63</v>
      </c>
      <c r="AU30" t="s">
        <v>64</v>
      </c>
      <c r="AV30" t="s">
        <v>54</v>
      </c>
      <c r="AW30">
        <v>24595441</v>
      </c>
      <c r="AX30">
        <v>24598682</v>
      </c>
      <c r="AY30" t="str">
        <f>HYPERLINK("http://genome.ucsc.edu/cgi-bin/hgTracks?clade=vertebrate&amp;org=Human&amp;db=hg19&amp;position=chr10:24478814-24538814")</f>
        <v>http://genome.ucsc.edu/cgi-bin/hgTracks?clade=vertebrate&amp;org=Human&amp;db=hg19&amp;position=chr10:24478814-24538814</v>
      </c>
      <c r="AZ30" t="s">
        <v>55</v>
      </c>
      <c r="BA30">
        <v>86627</v>
      </c>
    </row>
    <row r="31" spans="1:53" x14ac:dyDescent="0.2">
      <c r="A31" t="s">
        <v>155</v>
      </c>
      <c r="B31" t="s">
        <v>54</v>
      </c>
      <c r="C31">
        <v>110041989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18">
        <v>174</v>
      </c>
      <c r="AJ31" s="3"/>
      <c r="AK31" s="3"/>
      <c r="AL31" s="3"/>
      <c r="AM31" s="3"/>
      <c r="AN31" s="3"/>
      <c r="AO31" s="3"/>
      <c r="AP31" s="3"/>
      <c r="AQ31" s="3"/>
      <c r="AR31" s="3"/>
      <c r="AS31" s="4"/>
      <c r="AT31" s="7" t="s">
        <v>162</v>
      </c>
      <c r="AU31" s="7" t="s">
        <v>163</v>
      </c>
      <c r="AV31" s="7" t="s">
        <v>54</v>
      </c>
      <c r="AW31" s="7">
        <v>110018424</v>
      </c>
      <c r="AX31" s="7">
        <v>110055114</v>
      </c>
      <c r="AY31" s="7" t="str">
        <f>HYPERLINK("http://genome.ucsc.edu/cgi-bin/hgTracks?clade=vertebrate&amp;org=Human&amp;db=hg19&amp;position=chr7:110011989-110071989")</f>
        <v>http://genome.ucsc.edu/cgi-bin/hgTracks?clade=vertebrate&amp;org=Human&amp;db=hg19&amp;position=chr7:110011989-110071989</v>
      </c>
      <c r="AZ31" s="7" t="s">
        <v>49</v>
      </c>
      <c r="BA31" s="7" t="s">
        <v>107</v>
      </c>
    </row>
    <row r="32" spans="1:53" x14ac:dyDescent="0.2">
      <c r="A32" t="s">
        <v>125</v>
      </c>
      <c r="B32" t="s">
        <v>46</v>
      </c>
      <c r="C32">
        <v>4812619</v>
      </c>
      <c r="G32" s="4" t="s">
        <v>51</v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18">
        <v>151</v>
      </c>
      <c r="AJ32" s="3"/>
      <c r="AK32" s="3"/>
      <c r="AL32" s="3"/>
      <c r="AM32" s="3"/>
      <c r="AN32" s="3"/>
      <c r="AO32" s="3"/>
      <c r="AP32" s="3"/>
      <c r="AQ32" s="3"/>
      <c r="AR32" s="3"/>
      <c r="AS32" s="4"/>
      <c r="AT32" t="s">
        <v>126</v>
      </c>
      <c r="AU32" t="s">
        <v>127</v>
      </c>
      <c r="AV32" t="s">
        <v>54</v>
      </c>
      <c r="AW32">
        <v>4798707</v>
      </c>
      <c r="AX32">
        <v>4814911</v>
      </c>
      <c r="AY32" t="str">
        <f>HYPERLINK("http://genome.ucsc.edu/cgi-bin/hgTracks?clade=vertebrate&amp;org=Human&amp;db=hg19&amp;position=chr3:4782619-4842619")</f>
        <v>http://genome.ucsc.edu/cgi-bin/hgTracks?clade=vertebrate&amp;org=Human&amp;db=hg19&amp;position=chr3:4782619-4842619</v>
      </c>
      <c r="AZ32" t="s">
        <v>49</v>
      </c>
      <c r="BA32" t="s">
        <v>50</v>
      </c>
    </row>
    <row r="33" spans="1:53" x14ac:dyDescent="0.2">
      <c r="A33" t="s">
        <v>67</v>
      </c>
      <c r="B33" t="s">
        <v>46</v>
      </c>
      <c r="C33">
        <v>121586257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D33" s="14">
        <v>97</v>
      </c>
      <c r="AJ33" s="3"/>
      <c r="AK33" s="3"/>
      <c r="AL33" s="3"/>
      <c r="AM33" s="3"/>
      <c r="AN33" s="3"/>
      <c r="AO33" s="3"/>
      <c r="AP33" s="3"/>
      <c r="AQ33" s="3"/>
      <c r="AR33" s="3"/>
      <c r="AS33" s="4"/>
      <c r="AT33" t="s">
        <v>70</v>
      </c>
      <c r="AU33" t="s">
        <v>71</v>
      </c>
      <c r="AV33" t="s">
        <v>54</v>
      </c>
      <c r="AW33">
        <v>121451948</v>
      </c>
      <c r="AX33">
        <v>121617170</v>
      </c>
      <c r="AY33" t="str">
        <f>HYPERLINK("http://genome.ucsc.edu/cgi-bin/hgTracks?clade=vertebrate&amp;org=Human&amp;db=hg19&amp;position=chr11:121556257-121616257")</f>
        <v>http://genome.ucsc.edu/cgi-bin/hgTracks?clade=vertebrate&amp;org=Human&amp;db=hg19&amp;position=chr11:121556257-121616257</v>
      </c>
      <c r="AZ33" t="s">
        <v>49</v>
      </c>
      <c r="BA33" t="s">
        <v>50</v>
      </c>
    </row>
    <row r="34" spans="1:53" x14ac:dyDescent="0.2">
      <c r="A34" t="s">
        <v>108</v>
      </c>
      <c r="B34" t="s">
        <v>46</v>
      </c>
      <c r="C34">
        <v>165875728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 t="s">
        <v>51</v>
      </c>
      <c r="Y34" s="3"/>
      <c r="Z34" s="3"/>
      <c r="AA34" s="3"/>
      <c r="AE34" s="17">
        <v>123</v>
      </c>
      <c r="AJ34" s="3"/>
      <c r="AK34" s="3"/>
      <c r="AL34" s="3"/>
      <c r="AM34" s="3"/>
      <c r="AN34" s="3"/>
      <c r="AO34" s="3"/>
      <c r="AP34" s="3"/>
      <c r="AQ34" s="3"/>
      <c r="AR34" s="3"/>
      <c r="AS34" s="4"/>
      <c r="AT34" s="7" t="s">
        <v>123</v>
      </c>
      <c r="AU34" s="7" t="s">
        <v>124</v>
      </c>
      <c r="AV34" s="7" t="s">
        <v>46</v>
      </c>
      <c r="AW34" s="7">
        <v>165784151</v>
      </c>
      <c r="AX34" s="7">
        <v>165878437</v>
      </c>
      <c r="AY34" s="7" t="str">
        <f>HYPERLINK("http://genome.ucsc.edu/cgi-bin/hgTracks?clade=vertebrate&amp;org=Human&amp;db=hg19&amp;position=chr2:165845728-165905728")</f>
        <v>http://genome.ucsc.edu/cgi-bin/hgTracks?clade=vertebrate&amp;org=Human&amp;db=hg19&amp;position=chr2:165845728-165905728</v>
      </c>
      <c r="AZ34" s="7" t="s">
        <v>49</v>
      </c>
      <c r="BA34" s="7" t="s">
        <v>107</v>
      </c>
    </row>
    <row r="35" spans="1:53" x14ac:dyDescent="0.2">
      <c r="A35" t="s">
        <v>167</v>
      </c>
      <c r="B35" t="s">
        <v>46</v>
      </c>
      <c r="C35">
        <v>56667159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G35" s="14">
        <v>107</v>
      </c>
      <c r="AH35" s="3" t="s">
        <v>51</v>
      </c>
      <c r="AJ35" s="3"/>
      <c r="AK35" s="3"/>
      <c r="AL35" s="3"/>
      <c r="AM35" s="3"/>
      <c r="AN35" s="3"/>
      <c r="AO35" s="3"/>
      <c r="AP35" s="3"/>
      <c r="AQ35" s="3"/>
      <c r="AR35" s="3"/>
      <c r="AS35" s="4"/>
      <c r="AT35" t="s">
        <v>168</v>
      </c>
      <c r="AU35" t="s">
        <v>169</v>
      </c>
      <c r="AV35" t="s">
        <v>54</v>
      </c>
      <c r="AW35">
        <v>56609834</v>
      </c>
      <c r="AX35">
        <v>56664230</v>
      </c>
      <c r="AY35" t="str">
        <f>HYPERLINK("http://genome.ucsc.edu/cgi-bin/hgTracks?clade=vertebrate&amp;org=Human&amp;db=hg19&amp;position=chrX:56637159-56697159")</f>
        <v>http://genome.ucsc.edu/cgi-bin/hgTracks?clade=vertebrate&amp;org=Human&amp;db=hg19&amp;position=chrX:56637159-56697159</v>
      </c>
      <c r="AZ35" t="s">
        <v>55</v>
      </c>
      <c r="BA35">
        <v>2929</v>
      </c>
    </row>
    <row r="36" spans="1:53" x14ac:dyDescent="0.2">
      <c r="A36" t="s">
        <v>45</v>
      </c>
      <c r="B36" t="s">
        <v>46</v>
      </c>
      <c r="C36">
        <v>71902314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H36" s="14">
        <v>100</v>
      </c>
      <c r="AJ36" s="3"/>
      <c r="AK36" s="3"/>
      <c r="AL36" s="3"/>
      <c r="AM36" s="3"/>
      <c r="AN36" s="3"/>
      <c r="AO36" s="3" t="s">
        <v>51</v>
      </c>
      <c r="AP36" s="3"/>
      <c r="AQ36" s="3"/>
      <c r="AR36" s="3"/>
      <c r="AS36" s="4"/>
      <c r="AT36" t="s">
        <v>52</v>
      </c>
      <c r="AU36" t="s">
        <v>53</v>
      </c>
      <c r="AV36" t="s">
        <v>54</v>
      </c>
      <c r="AW36">
        <v>71888111</v>
      </c>
      <c r="AX36">
        <v>71891204</v>
      </c>
      <c r="AY36" t="str">
        <f>HYPERLINK("http://genome.ucsc.edu/cgi-bin/hgTracks?clade=vertebrate&amp;org=Human&amp;db=hg19&amp;position=chr1:71872314-71932314")</f>
        <v>http://genome.ucsc.edu/cgi-bin/hgTracks?clade=vertebrate&amp;org=Human&amp;db=hg19&amp;position=chr1:71872314-71932314</v>
      </c>
      <c r="AZ36" t="s">
        <v>55</v>
      </c>
      <c r="BA36">
        <v>11110</v>
      </c>
    </row>
    <row r="37" spans="1:53" x14ac:dyDescent="0.2">
      <c r="A37" t="s">
        <v>102</v>
      </c>
      <c r="B37" t="s">
        <v>54</v>
      </c>
      <c r="C37">
        <v>42565805</v>
      </c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I37" s="12">
        <v>113</v>
      </c>
      <c r="AJ37" s="3"/>
      <c r="AK37" s="3"/>
      <c r="AL37" s="3"/>
      <c r="AM37" s="3"/>
      <c r="AN37" s="3"/>
      <c r="AO37" s="3"/>
      <c r="AP37" s="3"/>
      <c r="AQ37" s="3"/>
      <c r="AR37" s="3"/>
      <c r="AS37" s="4"/>
      <c r="AT37" t="s">
        <v>103</v>
      </c>
      <c r="AU37" t="s">
        <v>104</v>
      </c>
      <c r="AV37" t="s">
        <v>54</v>
      </c>
      <c r="AW37">
        <v>42511486</v>
      </c>
      <c r="AX37">
        <v>42575785</v>
      </c>
      <c r="AY37" t="str">
        <f>HYPERLINK("http://genome.ucsc.edu/cgi-bin/hgTracks?clade=vertebrate&amp;org=Human&amp;db=hg19&amp;position=chr18:42535805-42595805")</f>
        <v>http://genome.ucsc.edu/cgi-bin/hgTracks?clade=vertebrate&amp;org=Human&amp;db=hg19&amp;position=chr18:42535805-42595805</v>
      </c>
      <c r="AZ37" t="s">
        <v>49</v>
      </c>
      <c r="BA37" t="s">
        <v>50</v>
      </c>
    </row>
    <row r="38" spans="1:53" x14ac:dyDescent="0.2">
      <c r="A38" t="s">
        <v>134</v>
      </c>
      <c r="B38" t="s">
        <v>54</v>
      </c>
      <c r="C38">
        <v>119566032</v>
      </c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I38" s="16">
        <v>40</v>
      </c>
      <c r="AJ38" s="3"/>
      <c r="AK38" s="3"/>
      <c r="AL38" s="3"/>
      <c r="AM38" s="3"/>
      <c r="AN38" s="3"/>
      <c r="AO38" s="3"/>
      <c r="AP38" s="3"/>
      <c r="AQ38" s="3"/>
      <c r="AR38" s="3"/>
      <c r="AS38" s="4"/>
      <c r="AT38" t="s">
        <v>137</v>
      </c>
      <c r="AU38" t="s">
        <v>138</v>
      </c>
      <c r="AV38" t="s">
        <v>54</v>
      </c>
      <c r="AW38">
        <v>119539660</v>
      </c>
      <c r="AX38">
        <v>119629119</v>
      </c>
      <c r="AY38" t="str">
        <f>HYPERLINK("http://genome.ucsc.edu/cgi-bin/hgTracks?clade=vertebrate&amp;org=Human&amp;db=hg19&amp;position=chr4:119536032-119596032")</f>
        <v>http://genome.ucsc.edu/cgi-bin/hgTracks?clade=vertebrate&amp;org=Human&amp;db=hg19&amp;position=chr4:119536032-119596032</v>
      </c>
      <c r="AZ38" t="s">
        <v>49</v>
      </c>
      <c r="BA38" t="s">
        <v>50</v>
      </c>
    </row>
    <row r="39" spans="1:53" x14ac:dyDescent="0.2">
      <c r="A39" t="s">
        <v>141</v>
      </c>
      <c r="B39" t="s">
        <v>54</v>
      </c>
      <c r="C39">
        <v>13063043</v>
      </c>
      <c r="G39" s="12">
        <v>138</v>
      </c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J39" s="3"/>
      <c r="AK39" s="3"/>
      <c r="AL39" s="3"/>
      <c r="AM39" s="3"/>
      <c r="AN39" s="3"/>
      <c r="AO39" s="3"/>
      <c r="AP39" s="3"/>
      <c r="AQ39" s="3"/>
      <c r="AR39" s="3"/>
      <c r="AS39" s="4"/>
      <c r="AT39" t="s">
        <v>142</v>
      </c>
      <c r="AU39" t="s">
        <v>143</v>
      </c>
      <c r="AV39" t="s">
        <v>54</v>
      </c>
      <c r="AW39">
        <v>13396783</v>
      </c>
      <c r="AX39">
        <v>13603485</v>
      </c>
      <c r="AY39" t="str">
        <f>HYPERLINK("http://genome.ucsc.edu/cgi-bin/hgTracks?clade=vertebrate&amp;org=Human&amp;db=hg19&amp;position=chr5:13033043-13093043")</f>
        <v>http://genome.ucsc.edu/cgi-bin/hgTracks?clade=vertebrate&amp;org=Human&amp;db=hg19&amp;position=chr5:13033043-13093043</v>
      </c>
      <c r="AZ39" t="s">
        <v>55</v>
      </c>
      <c r="BA39">
        <v>333740</v>
      </c>
    </row>
    <row r="40" spans="1:53" x14ac:dyDescent="0.2">
      <c r="A40" t="s">
        <v>90</v>
      </c>
      <c r="B40" t="s">
        <v>46</v>
      </c>
      <c r="C40">
        <v>77534311</v>
      </c>
      <c r="G40" s="12">
        <v>135</v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J40" s="3"/>
      <c r="AK40" s="3"/>
      <c r="AL40" s="3"/>
      <c r="AM40" s="3"/>
      <c r="AN40" s="3"/>
      <c r="AO40" s="3"/>
      <c r="AP40" s="3"/>
      <c r="AQ40" s="3"/>
      <c r="AR40" s="3"/>
      <c r="AS40" s="4"/>
      <c r="AT40" t="s">
        <v>93</v>
      </c>
      <c r="AU40" t="s">
        <v>94</v>
      </c>
      <c r="AV40" t="s">
        <v>54</v>
      </c>
      <c r="AW40">
        <v>77329327</v>
      </c>
      <c r="AX40">
        <v>77558428</v>
      </c>
      <c r="AY40" t="str">
        <f>HYPERLINK("http://genome.ucsc.edu/cgi-bin/hgTracks?clade=vertebrate&amp;org=Human&amp;db=hg19&amp;position=chr16:77504311-77564311")</f>
        <v>http://genome.ucsc.edu/cgi-bin/hgTracks?clade=vertebrate&amp;org=Human&amp;db=hg19&amp;position=chr16:77504311-77564311</v>
      </c>
      <c r="AZ40" t="s">
        <v>49</v>
      </c>
      <c r="BA40" t="s">
        <v>50</v>
      </c>
    </row>
    <row r="41" spans="1:53" x14ac:dyDescent="0.2">
      <c r="A41" t="s">
        <v>134</v>
      </c>
      <c r="B41" t="s">
        <v>46</v>
      </c>
      <c r="C41">
        <v>17993922</v>
      </c>
      <c r="G41" s="12">
        <v>129</v>
      </c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J41" s="3"/>
      <c r="AK41" s="3"/>
      <c r="AL41" s="3"/>
      <c r="AM41" s="3"/>
      <c r="AN41" s="3"/>
      <c r="AO41" s="3"/>
      <c r="AP41" s="3"/>
      <c r="AQ41" s="3"/>
      <c r="AR41" s="3"/>
      <c r="AS41" s="4"/>
      <c r="AT41" t="s">
        <v>135</v>
      </c>
      <c r="AU41" t="s">
        <v>136</v>
      </c>
      <c r="AV41" t="s">
        <v>54</v>
      </c>
      <c r="AW41">
        <v>17853481</v>
      </c>
      <c r="AX41">
        <v>18118734</v>
      </c>
      <c r="AY41" t="str">
        <f>HYPERLINK("http://genome.ucsc.edu/cgi-bin/hgTracks?clade=vertebrate&amp;org=Human&amp;db=hg19&amp;position=chr4:17963922-18023922")</f>
        <v>http://genome.ucsc.edu/cgi-bin/hgTracks?clade=vertebrate&amp;org=Human&amp;db=hg19&amp;position=chr4:17963922-18023922</v>
      </c>
      <c r="AZ41" t="s">
        <v>49</v>
      </c>
      <c r="BA41" t="s">
        <v>50</v>
      </c>
    </row>
    <row r="42" spans="1:53" x14ac:dyDescent="0.2">
      <c r="A42" t="s">
        <v>167</v>
      </c>
      <c r="B42" t="s">
        <v>54</v>
      </c>
      <c r="C42">
        <v>69552123</v>
      </c>
      <c r="G42" s="12">
        <v>102</v>
      </c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J42" s="3"/>
      <c r="AK42" s="3"/>
      <c r="AL42" s="3"/>
      <c r="AM42" s="3"/>
      <c r="AN42" s="3"/>
      <c r="AO42" s="3"/>
      <c r="AP42" s="3"/>
      <c r="AQ42" s="3"/>
      <c r="AR42" s="3"/>
      <c r="AS42" s="4"/>
      <c r="AT42" t="s">
        <v>170</v>
      </c>
      <c r="AU42" t="s">
        <v>171</v>
      </c>
      <c r="AV42" t="s">
        <v>54</v>
      </c>
      <c r="AW42">
        <v>69360330</v>
      </c>
      <c r="AX42">
        <v>69868037</v>
      </c>
      <c r="AY42" t="str">
        <f>HYPERLINK("http://genome.ucsc.edu/cgi-bin/hgTracks?clade=vertebrate&amp;org=Human&amp;db=hg19&amp;position=chrX:69522123-69582123")</f>
        <v>http://genome.ucsc.edu/cgi-bin/hgTracks?clade=vertebrate&amp;org=Human&amp;db=hg19&amp;position=chrX:69522123-69582123</v>
      </c>
      <c r="AZ42" t="s">
        <v>49</v>
      </c>
      <c r="BA42" t="s">
        <v>50</v>
      </c>
    </row>
    <row r="43" spans="1:53" x14ac:dyDescent="0.2">
      <c r="A43" t="s">
        <v>108</v>
      </c>
      <c r="B43" t="s">
        <v>54</v>
      </c>
      <c r="C43">
        <v>110142079</v>
      </c>
      <c r="G43" s="12">
        <v>97</v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J43" s="3"/>
      <c r="AK43" s="3"/>
      <c r="AL43" s="3"/>
      <c r="AM43" s="3"/>
      <c r="AN43" s="3"/>
      <c r="AO43" s="3"/>
      <c r="AP43" s="3"/>
      <c r="AQ43" s="3"/>
      <c r="AR43" s="3"/>
      <c r="AS43" s="4"/>
      <c r="AT43" t="s">
        <v>115</v>
      </c>
      <c r="AU43" t="s">
        <v>116</v>
      </c>
      <c r="AV43" t="s">
        <v>46</v>
      </c>
      <c r="AW43">
        <v>110031249</v>
      </c>
      <c r="AX43">
        <v>110050479</v>
      </c>
      <c r="AY43" t="str">
        <f>HYPERLINK("http://genome.ucsc.edu/cgi-bin/hgTracks?clade=vertebrate&amp;org=Human&amp;db=hg19&amp;position=chr2:110112079-110172079")</f>
        <v>http://genome.ucsc.edu/cgi-bin/hgTracks?clade=vertebrate&amp;org=Human&amp;db=hg19&amp;position=chr2:110112079-110172079</v>
      </c>
      <c r="AZ43" t="s">
        <v>55</v>
      </c>
      <c r="BA43">
        <v>91600</v>
      </c>
    </row>
    <row r="44" spans="1:53" x14ac:dyDescent="0.2">
      <c r="A44" t="s">
        <v>141</v>
      </c>
      <c r="B44" t="s">
        <v>54</v>
      </c>
      <c r="C44">
        <v>100041647</v>
      </c>
      <c r="G44" s="12">
        <v>84</v>
      </c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J44" s="3"/>
      <c r="AK44" s="3"/>
      <c r="AL44" s="3"/>
      <c r="AM44" s="3"/>
      <c r="AN44" s="3"/>
      <c r="AO44" s="3"/>
      <c r="AP44" s="3"/>
      <c r="AQ44" s="3"/>
      <c r="AR44" s="3"/>
      <c r="AS44" s="4"/>
      <c r="AT44" t="s">
        <v>144</v>
      </c>
      <c r="AU44" t="s">
        <v>145</v>
      </c>
      <c r="AV44" t="s">
        <v>54</v>
      </c>
      <c r="AW44">
        <v>100039993</v>
      </c>
      <c r="AX44">
        <v>100068765</v>
      </c>
      <c r="AY44" t="str">
        <f>HYPERLINK("http://genome.ucsc.edu/cgi-bin/hgTracks?clade=vertebrate&amp;org=Human&amp;db=hg19&amp;position=chr5:100011647-100071647")</f>
        <v>http://genome.ucsc.edu/cgi-bin/hgTracks?clade=vertebrate&amp;org=Human&amp;db=hg19&amp;position=chr5:100011647-100071647</v>
      </c>
      <c r="AZ44" t="s">
        <v>49</v>
      </c>
      <c r="BA44" t="s">
        <v>50</v>
      </c>
    </row>
    <row r="45" spans="1:53" x14ac:dyDescent="0.2">
      <c r="A45" t="s">
        <v>155</v>
      </c>
      <c r="B45" t="s">
        <v>46</v>
      </c>
      <c r="C45">
        <v>84310942</v>
      </c>
      <c r="E45" s="14">
        <v>141</v>
      </c>
      <c r="AJ45" s="3"/>
      <c r="AK45" s="3"/>
      <c r="AL45" s="3"/>
      <c r="AM45" s="3"/>
      <c r="AN45" s="3"/>
      <c r="AO45" s="3"/>
      <c r="AP45" s="3"/>
      <c r="AQ45" s="3"/>
      <c r="AR45" s="3"/>
      <c r="AS45" s="4"/>
      <c r="AT45" s="7" t="s">
        <v>158</v>
      </c>
      <c r="AU45" s="7" t="s">
        <v>159</v>
      </c>
      <c r="AV45" s="7" t="s">
        <v>46</v>
      </c>
      <c r="AW45" s="7">
        <v>84246274</v>
      </c>
      <c r="AX45" s="7">
        <v>84410038</v>
      </c>
      <c r="AY45" s="7" t="str">
        <f>HYPERLINK("http://genome.ucsc.edu/cgi-bin/hgTracks?clade=vertebrate&amp;org=Human&amp;db=hg19&amp;position=chr7:84280942-84340942")</f>
        <v>http://genome.ucsc.edu/cgi-bin/hgTracks?clade=vertebrate&amp;org=Human&amp;db=hg19&amp;position=chr7:84280942-84340942</v>
      </c>
      <c r="AZ45" s="7" t="s">
        <v>49</v>
      </c>
      <c r="BA45" s="7" t="s">
        <v>107</v>
      </c>
    </row>
    <row r="46" spans="1:53" x14ac:dyDescent="0.2">
      <c r="A46" t="s">
        <v>85</v>
      </c>
      <c r="B46" t="s">
        <v>46</v>
      </c>
      <c r="C46">
        <v>53119979</v>
      </c>
      <c r="E46" s="14">
        <v>139</v>
      </c>
      <c r="AJ46" s="3"/>
      <c r="AK46" s="3"/>
      <c r="AL46" s="3"/>
      <c r="AM46" s="3"/>
      <c r="AN46" s="3"/>
      <c r="AO46" s="3"/>
      <c r="AP46" s="3"/>
      <c r="AQ46" s="3"/>
      <c r="AR46" s="3"/>
      <c r="AS46" s="4"/>
      <c r="AT46" t="s">
        <v>86</v>
      </c>
      <c r="AU46" t="s">
        <v>87</v>
      </c>
      <c r="AV46" t="s">
        <v>46</v>
      </c>
      <c r="AW46">
        <v>53068260</v>
      </c>
      <c r="AX46">
        <v>53346183</v>
      </c>
      <c r="AY46" t="str">
        <f>HYPERLINK("http://genome.ucsc.edu/cgi-bin/hgTracks?clade=vertebrate&amp;org=Human&amp;db=hg19&amp;position=chr15:53089979-53149979")</f>
        <v>http://genome.ucsc.edu/cgi-bin/hgTracks?clade=vertebrate&amp;org=Human&amp;db=hg19&amp;position=chr15:53089979-53149979</v>
      </c>
      <c r="AZ46" t="s">
        <v>49</v>
      </c>
      <c r="BA46" t="s">
        <v>50</v>
      </c>
    </row>
    <row r="47" spans="1:53" x14ac:dyDescent="0.2">
      <c r="A47" t="s">
        <v>134</v>
      </c>
      <c r="B47" t="s">
        <v>46</v>
      </c>
      <c r="C47">
        <v>126391965</v>
      </c>
      <c r="E47" s="14">
        <v>135</v>
      </c>
      <c r="AJ47" s="3"/>
      <c r="AK47" s="3"/>
      <c r="AL47" s="3"/>
      <c r="AM47" s="3"/>
      <c r="AN47" s="3"/>
      <c r="AO47" s="3"/>
      <c r="AP47" s="3"/>
      <c r="AQ47" s="3"/>
      <c r="AR47" s="3"/>
      <c r="AS47" s="4"/>
      <c r="AT47" t="s">
        <v>139</v>
      </c>
      <c r="AU47" t="s">
        <v>140</v>
      </c>
      <c r="AV47" t="s">
        <v>46</v>
      </c>
      <c r="AW47">
        <v>126340677</v>
      </c>
      <c r="AX47">
        <v>126429542</v>
      </c>
      <c r="AY47" t="str">
        <f>HYPERLINK("http://genome.ucsc.edu/cgi-bin/hgTracks?clade=vertebrate&amp;org=Human&amp;db=hg19&amp;position=chr4:126361965-126421965")</f>
        <v>http://genome.ucsc.edu/cgi-bin/hgTracks?clade=vertebrate&amp;org=Human&amp;db=hg19&amp;position=chr4:126361965-126421965</v>
      </c>
      <c r="AZ47" t="s">
        <v>49</v>
      </c>
      <c r="BA47" t="s">
        <v>50</v>
      </c>
    </row>
    <row r="48" spans="1:53" x14ac:dyDescent="0.2">
      <c r="A48" t="s">
        <v>75</v>
      </c>
      <c r="B48" t="s">
        <v>46</v>
      </c>
      <c r="C48">
        <v>114874312</v>
      </c>
      <c r="E48" s="14">
        <v>132</v>
      </c>
      <c r="AJ48" s="3"/>
      <c r="AK48" s="3"/>
      <c r="AL48" s="3"/>
      <c r="AM48" s="3"/>
      <c r="AN48" s="3"/>
      <c r="AO48" s="3"/>
      <c r="AP48" s="3"/>
      <c r="AQ48" s="3"/>
      <c r="AR48" s="3"/>
      <c r="AS48" s="4"/>
      <c r="AT48" t="s">
        <v>80</v>
      </c>
      <c r="AU48" t="s">
        <v>81</v>
      </c>
      <c r="AV48" t="s">
        <v>46</v>
      </c>
      <c r="AW48">
        <v>114835911</v>
      </c>
      <c r="AX48">
        <v>114932041</v>
      </c>
      <c r="AY48" t="str">
        <f>HYPERLINK("http://genome.ucsc.edu/cgi-bin/hgTracks?clade=vertebrate&amp;org=Human&amp;db=hg19&amp;position=chr13:114844312-114904312")</f>
        <v>http://genome.ucsc.edu/cgi-bin/hgTracks?clade=vertebrate&amp;org=Human&amp;db=hg19&amp;position=chr13:114844312-114904312</v>
      </c>
      <c r="AZ48" t="s">
        <v>49</v>
      </c>
      <c r="BA48" t="s">
        <v>50</v>
      </c>
    </row>
    <row r="49" spans="1:53" x14ac:dyDescent="0.2">
      <c r="A49" t="s">
        <v>82</v>
      </c>
      <c r="B49" t="s">
        <v>54</v>
      </c>
      <c r="C49">
        <v>79350280</v>
      </c>
      <c r="E49" s="14">
        <v>128</v>
      </c>
      <c r="AJ49" s="3"/>
      <c r="AK49" s="3"/>
      <c r="AL49" s="3"/>
      <c r="AM49" s="3"/>
      <c r="AN49" s="3"/>
      <c r="AO49" s="3"/>
      <c r="AP49" s="3"/>
      <c r="AQ49" s="3"/>
      <c r="AR49" s="3"/>
      <c r="AS49" s="4"/>
      <c r="AT49" t="s">
        <v>83</v>
      </c>
      <c r="AU49" t="s">
        <v>84</v>
      </c>
      <c r="AV49" t="s">
        <v>46</v>
      </c>
      <c r="AW49">
        <v>79334506</v>
      </c>
      <c r="AX49">
        <v>79390668</v>
      </c>
      <c r="AY49" t="str">
        <f>HYPERLINK("http://genome.ucsc.edu/cgi-bin/hgTracks?clade=vertebrate&amp;org=Human&amp;db=hg19&amp;position=chr14:79320280-79380280")</f>
        <v>http://genome.ucsc.edu/cgi-bin/hgTracks?clade=vertebrate&amp;org=Human&amp;db=hg19&amp;position=chr14:79320280-79380280</v>
      </c>
      <c r="AZ49" t="s">
        <v>49</v>
      </c>
      <c r="BA49" t="s">
        <v>50</v>
      </c>
    </row>
    <row r="50" spans="1:53" x14ac:dyDescent="0.2">
      <c r="A50" t="s">
        <v>125</v>
      </c>
      <c r="B50" t="s">
        <v>54</v>
      </c>
      <c r="C50">
        <v>93007918</v>
      </c>
      <c r="E50" s="14">
        <v>123</v>
      </c>
      <c r="AJ50" s="3"/>
      <c r="AK50" s="3"/>
      <c r="AL50" s="3"/>
      <c r="AM50" s="3"/>
      <c r="AN50" s="3"/>
      <c r="AO50" s="3"/>
      <c r="AP50" s="3"/>
      <c r="AQ50" s="3"/>
      <c r="AR50" s="3"/>
      <c r="AS50" s="4"/>
      <c r="AT50" t="s">
        <v>130</v>
      </c>
      <c r="AU50" t="s">
        <v>131</v>
      </c>
      <c r="AV50" t="s">
        <v>46</v>
      </c>
      <c r="AW50">
        <v>93014204</v>
      </c>
      <c r="AX50">
        <v>93015686</v>
      </c>
      <c r="AY50" t="str">
        <f>HYPERLINK("http://genome.ucsc.edu/cgi-bin/hgTracks?clade=vertebrate&amp;org=Human&amp;db=hg19&amp;position=chr3:92977918-93037918")</f>
        <v>http://genome.ucsc.edu/cgi-bin/hgTracks?clade=vertebrate&amp;org=Human&amp;db=hg19&amp;position=chr3:92977918-93037918</v>
      </c>
      <c r="AZ50" t="s">
        <v>55</v>
      </c>
      <c r="BA50">
        <v>6286</v>
      </c>
    </row>
    <row r="51" spans="1:53" x14ac:dyDescent="0.2">
      <c r="A51" t="s">
        <v>125</v>
      </c>
      <c r="B51" t="s">
        <v>54</v>
      </c>
      <c r="C51">
        <v>99792736</v>
      </c>
      <c r="E51" s="14">
        <v>119</v>
      </c>
      <c r="AJ51" s="3"/>
      <c r="AK51" s="3"/>
      <c r="AL51" s="3"/>
      <c r="AM51" s="3"/>
      <c r="AN51" s="3"/>
      <c r="AO51" s="3"/>
      <c r="AP51" s="3"/>
      <c r="AQ51" s="3"/>
      <c r="AR51" s="3"/>
      <c r="AS51" s="4"/>
      <c r="AT51" t="s">
        <v>132</v>
      </c>
      <c r="AU51" t="s">
        <v>133</v>
      </c>
      <c r="AV51" t="s">
        <v>54</v>
      </c>
      <c r="AW51">
        <v>99885416</v>
      </c>
      <c r="AX51">
        <v>100143322</v>
      </c>
      <c r="AY51" t="str">
        <f>HYPERLINK("http://genome.ucsc.edu/cgi-bin/hgTracks?clade=vertebrate&amp;org=Human&amp;db=hg19&amp;position=chr3:99762736-99822736")</f>
        <v>http://genome.ucsc.edu/cgi-bin/hgTracks?clade=vertebrate&amp;org=Human&amp;db=hg19&amp;position=chr3:99762736-99822736</v>
      </c>
      <c r="AZ51" t="s">
        <v>55</v>
      </c>
      <c r="BA51">
        <v>92680</v>
      </c>
    </row>
    <row r="52" spans="1:53" x14ac:dyDescent="0.2">
      <c r="A52" t="s">
        <v>164</v>
      </c>
      <c r="B52" t="s">
        <v>54</v>
      </c>
      <c r="C52">
        <v>7212436</v>
      </c>
      <c r="E52" s="14">
        <v>111</v>
      </c>
      <c r="AJ52" s="3"/>
      <c r="AK52" s="3"/>
      <c r="AL52" s="3"/>
      <c r="AM52" s="3"/>
      <c r="AN52" s="3"/>
      <c r="AO52" s="3"/>
      <c r="AP52" s="3"/>
      <c r="AQ52" s="3"/>
      <c r="AR52" s="3"/>
      <c r="AS52" s="4"/>
      <c r="AT52" t="s">
        <v>165</v>
      </c>
      <c r="AU52" t="s">
        <v>166</v>
      </c>
      <c r="AV52" t="s">
        <v>46</v>
      </c>
      <c r="AW52">
        <v>8617438</v>
      </c>
      <c r="AX52">
        <v>8660773</v>
      </c>
      <c r="AY52" t="str">
        <f>HYPERLINK("http://genome.ucsc.edu/cgi-bin/hgTracks?clade=vertebrate&amp;org=Human&amp;db=hg19&amp;position=chr8:7182436-7242436")</f>
        <v>http://genome.ucsc.edu/cgi-bin/hgTracks?clade=vertebrate&amp;org=Human&amp;db=hg19&amp;position=chr8:7182436-7242436</v>
      </c>
      <c r="AZ52" t="s">
        <v>55</v>
      </c>
      <c r="BA52">
        <v>1405002</v>
      </c>
    </row>
    <row r="53" spans="1:53" x14ac:dyDescent="0.2">
      <c r="A53" t="s">
        <v>108</v>
      </c>
      <c r="B53" t="s">
        <v>46</v>
      </c>
      <c r="C53">
        <v>83826027</v>
      </c>
      <c r="E53" s="14">
        <v>83</v>
      </c>
      <c r="AJ53" s="3"/>
      <c r="AK53" s="3"/>
      <c r="AL53" s="3"/>
      <c r="AM53" s="3"/>
      <c r="AN53" s="3"/>
      <c r="AO53" s="3"/>
      <c r="AP53" s="3"/>
      <c r="AQ53" s="3"/>
      <c r="AR53" s="3"/>
      <c r="AS53" s="4"/>
      <c r="AT53" t="s">
        <v>111</v>
      </c>
      <c r="AU53" t="s">
        <v>112</v>
      </c>
      <c r="AV53" t="s">
        <v>54</v>
      </c>
      <c r="AW53">
        <v>83812727</v>
      </c>
      <c r="AX53">
        <v>83881358</v>
      </c>
      <c r="AY53" t="str">
        <f>HYPERLINK("http://genome.ucsc.edu/cgi-bin/hgTracks?clade=vertebrate&amp;org=Human&amp;db=hg19&amp;position=chr2:83796027-83856027")</f>
        <v>http://genome.ucsc.edu/cgi-bin/hgTracks?clade=vertebrate&amp;org=Human&amp;db=hg19&amp;position=chr2:83796027-83856027</v>
      </c>
      <c r="AZ53" t="s">
        <v>49</v>
      </c>
      <c r="BA53" t="s">
        <v>50</v>
      </c>
    </row>
    <row r="54" spans="1:53" x14ac:dyDescent="0.2">
      <c r="A54" t="s">
        <v>60</v>
      </c>
      <c r="B54" t="s">
        <v>54</v>
      </c>
      <c r="C54">
        <v>125300473</v>
      </c>
      <c r="E54" s="19">
        <v>57</v>
      </c>
      <c r="AJ54" s="3"/>
      <c r="AK54" s="3"/>
      <c r="AL54" s="3"/>
      <c r="AM54" s="3"/>
      <c r="AN54" s="3"/>
      <c r="AO54" s="3"/>
      <c r="AP54" s="3"/>
      <c r="AQ54" s="3"/>
      <c r="AR54" s="3"/>
      <c r="AS54" s="4"/>
      <c r="AT54" t="s">
        <v>65</v>
      </c>
      <c r="AU54" t="s">
        <v>66</v>
      </c>
      <c r="AV54" t="s">
        <v>46</v>
      </c>
      <c r="AW54">
        <v>125227484</v>
      </c>
      <c r="AX54">
        <v>125328535</v>
      </c>
      <c r="AY54" t="str">
        <f>HYPERLINK("http://genome.ucsc.edu/cgi-bin/hgTracks?clade=vertebrate&amp;org=Human&amp;db=hg19&amp;position=chr10:125270473-125330473")</f>
        <v>http://genome.ucsc.edu/cgi-bin/hgTracks?clade=vertebrate&amp;org=Human&amp;db=hg19&amp;position=chr10:125270473-125330473</v>
      </c>
      <c r="AZ54" t="s">
        <v>49</v>
      </c>
      <c r="BA54" t="s">
        <v>50</v>
      </c>
    </row>
    <row r="55" spans="1:53" ht="17" thickBot="1" x14ac:dyDescent="0.25">
      <c r="A55" t="s">
        <v>108</v>
      </c>
      <c r="B55" t="s">
        <v>46</v>
      </c>
      <c r="C55">
        <v>83826029</v>
      </c>
      <c r="E55" s="19">
        <v>11</v>
      </c>
      <c r="AJ55" s="5"/>
      <c r="AK55" s="5"/>
      <c r="AL55" s="5"/>
      <c r="AM55" s="5"/>
      <c r="AN55" s="5"/>
      <c r="AO55" s="5"/>
      <c r="AP55" s="5"/>
      <c r="AQ55" s="5"/>
      <c r="AR55" s="5"/>
      <c r="AS55" s="6"/>
      <c r="AT55" t="s">
        <v>111</v>
      </c>
      <c r="AU55" t="s">
        <v>112</v>
      </c>
      <c r="AV55" t="s">
        <v>54</v>
      </c>
      <c r="AW55">
        <v>83812727</v>
      </c>
      <c r="AX55">
        <v>83881358</v>
      </c>
      <c r="AY55" t="str">
        <f>HYPERLINK("http://genome.ucsc.edu/cgi-bin/hgTracks?clade=vertebrate&amp;org=Human&amp;db=hg19&amp;position=chr2:83796029-83856029")</f>
        <v>http://genome.ucsc.edu/cgi-bin/hgTracks?clade=vertebrate&amp;org=Human&amp;db=hg19&amp;position=chr2:83796029-83856029</v>
      </c>
      <c r="AZ55" t="s">
        <v>49</v>
      </c>
      <c r="BA55" t="s">
        <v>50</v>
      </c>
    </row>
  </sheetData>
  <sortState xmlns:xlrd2="http://schemas.microsoft.com/office/spreadsheetml/2017/richdata2" ref="A1:BA78">
    <sortCondition descending="1" ref="D1:D78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99"/>
  <sheetViews>
    <sheetView tabSelected="1" topLeftCell="A113" workbookViewId="0">
      <selection sqref="A1:G200"/>
    </sheetView>
  </sheetViews>
  <sheetFormatPr baseColWidth="10" defaultRowHeight="16" x14ac:dyDescent="0.2"/>
  <sheetData>
    <row r="1" spans="1:7" x14ac:dyDescent="0.2">
      <c r="A1" t="s">
        <v>224</v>
      </c>
    </row>
    <row r="2" spans="1:7" x14ac:dyDescent="0.2">
      <c r="A2" t="s">
        <v>225</v>
      </c>
    </row>
    <row r="3" spans="1:7" x14ac:dyDescent="0.2">
      <c r="A3" t="s">
        <v>225</v>
      </c>
      <c r="B3" t="s">
        <v>45</v>
      </c>
      <c r="C3" t="s">
        <v>46</v>
      </c>
      <c r="D3">
        <v>20221001</v>
      </c>
      <c r="E3">
        <v>27</v>
      </c>
      <c r="F3">
        <v>4.5685279187817299E-2</v>
      </c>
      <c r="G3" t="s">
        <v>226</v>
      </c>
    </row>
    <row r="4" spans="1:7" x14ac:dyDescent="0.2">
      <c r="A4" t="s">
        <v>225</v>
      </c>
      <c r="B4" t="s">
        <v>45</v>
      </c>
      <c r="C4" t="s">
        <v>54</v>
      </c>
      <c r="D4">
        <v>20220996</v>
      </c>
      <c r="E4">
        <v>70</v>
      </c>
      <c r="F4">
        <v>9.6952908587257594E-2</v>
      </c>
      <c r="G4" t="s">
        <v>227</v>
      </c>
    </row>
    <row r="5" spans="1:7" x14ac:dyDescent="0.2">
      <c r="A5" t="s">
        <v>225</v>
      </c>
      <c r="B5" t="s">
        <v>60</v>
      </c>
      <c r="C5" t="s">
        <v>54</v>
      </c>
      <c r="D5">
        <v>16648302</v>
      </c>
      <c r="E5">
        <v>62</v>
      </c>
      <c r="F5">
        <v>0.104906937394247</v>
      </c>
      <c r="G5" t="s">
        <v>226</v>
      </c>
    </row>
    <row r="6" spans="1:7" x14ac:dyDescent="0.2">
      <c r="A6" t="s">
        <v>225</v>
      </c>
      <c r="B6" t="s">
        <v>60</v>
      </c>
      <c r="C6" t="s">
        <v>46</v>
      </c>
      <c r="D6">
        <v>16648307</v>
      </c>
      <c r="E6">
        <v>60</v>
      </c>
      <c r="F6">
        <v>8.31024930747922E-2</v>
      </c>
      <c r="G6" t="s">
        <v>227</v>
      </c>
    </row>
    <row r="7" spans="1:7" x14ac:dyDescent="0.2">
      <c r="A7" t="s">
        <v>225</v>
      </c>
      <c r="B7" t="s">
        <v>75</v>
      </c>
      <c r="C7" t="s">
        <v>54</v>
      </c>
      <c r="D7">
        <v>26426394</v>
      </c>
      <c r="E7">
        <v>59</v>
      </c>
      <c r="F7">
        <v>9.9830795262267305E-2</v>
      </c>
      <c r="G7" t="s">
        <v>226</v>
      </c>
    </row>
    <row r="8" spans="1:7" x14ac:dyDescent="0.2">
      <c r="A8" t="s">
        <v>225</v>
      </c>
      <c r="B8" t="s">
        <v>75</v>
      </c>
      <c r="C8" t="s">
        <v>46</v>
      </c>
      <c r="D8">
        <v>26426399</v>
      </c>
      <c r="E8">
        <v>47</v>
      </c>
      <c r="F8">
        <v>6.5096952908587302E-2</v>
      </c>
      <c r="G8" t="s">
        <v>227</v>
      </c>
    </row>
    <row r="9" spans="1:7" x14ac:dyDescent="0.2">
      <c r="A9" t="s">
        <v>225</v>
      </c>
      <c r="B9" t="s">
        <v>85</v>
      </c>
      <c r="C9" t="s">
        <v>54</v>
      </c>
      <c r="D9">
        <v>96920707</v>
      </c>
      <c r="E9">
        <v>54</v>
      </c>
      <c r="F9">
        <v>9.13705583756345E-2</v>
      </c>
      <c r="G9" t="s">
        <v>226</v>
      </c>
    </row>
    <row r="10" spans="1:7" x14ac:dyDescent="0.2">
      <c r="A10" t="s">
        <v>225</v>
      </c>
      <c r="B10" t="s">
        <v>85</v>
      </c>
      <c r="C10" t="s">
        <v>46</v>
      </c>
      <c r="D10">
        <v>96920712</v>
      </c>
      <c r="E10">
        <v>69</v>
      </c>
      <c r="F10">
        <v>9.5567867036011098E-2</v>
      </c>
      <c r="G10" t="s">
        <v>227</v>
      </c>
    </row>
    <row r="11" spans="1:7" x14ac:dyDescent="0.2">
      <c r="A11" t="s">
        <v>225</v>
      </c>
      <c r="B11" t="s">
        <v>90</v>
      </c>
      <c r="C11" t="s">
        <v>54</v>
      </c>
      <c r="D11">
        <v>77463313</v>
      </c>
      <c r="E11">
        <v>56</v>
      </c>
      <c r="F11">
        <v>9.4754653130287594E-2</v>
      </c>
      <c r="G11" t="s">
        <v>226</v>
      </c>
    </row>
    <row r="12" spans="1:7" x14ac:dyDescent="0.2">
      <c r="A12" t="s">
        <v>225</v>
      </c>
      <c r="B12" t="s">
        <v>90</v>
      </c>
      <c r="C12" t="s">
        <v>54</v>
      </c>
      <c r="D12">
        <v>42802811</v>
      </c>
      <c r="E12">
        <v>30</v>
      </c>
      <c r="F12">
        <v>5.0761421319797002E-2</v>
      </c>
      <c r="G12" t="s">
        <v>226</v>
      </c>
    </row>
    <row r="13" spans="1:7" x14ac:dyDescent="0.2">
      <c r="A13" t="s">
        <v>225</v>
      </c>
      <c r="B13" t="s">
        <v>90</v>
      </c>
      <c r="C13" t="s">
        <v>46</v>
      </c>
      <c r="D13">
        <v>42802816</v>
      </c>
      <c r="E13">
        <v>59</v>
      </c>
      <c r="F13">
        <v>8.1717451523545703E-2</v>
      </c>
      <c r="G13" t="s">
        <v>227</v>
      </c>
    </row>
    <row r="14" spans="1:7" x14ac:dyDescent="0.2">
      <c r="A14" t="s">
        <v>225</v>
      </c>
      <c r="B14" t="s">
        <v>90</v>
      </c>
      <c r="C14" t="s">
        <v>46</v>
      </c>
      <c r="D14">
        <v>77463318</v>
      </c>
      <c r="E14">
        <v>37</v>
      </c>
      <c r="F14">
        <v>5.1246537396121901E-2</v>
      </c>
      <c r="G14" t="s">
        <v>227</v>
      </c>
    </row>
    <row r="15" spans="1:7" x14ac:dyDescent="0.2">
      <c r="A15" t="s">
        <v>225</v>
      </c>
      <c r="B15" t="s">
        <v>90</v>
      </c>
      <c r="C15" t="s">
        <v>46</v>
      </c>
      <c r="D15">
        <v>77463316</v>
      </c>
      <c r="E15">
        <v>26</v>
      </c>
      <c r="F15">
        <v>3.6011080332410003E-2</v>
      </c>
      <c r="G15" t="s">
        <v>227</v>
      </c>
    </row>
    <row r="16" spans="1:7" x14ac:dyDescent="0.2">
      <c r="A16" t="s">
        <v>225</v>
      </c>
      <c r="B16" t="s">
        <v>95</v>
      </c>
      <c r="C16" t="s">
        <v>46</v>
      </c>
      <c r="D16">
        <v>35713809</v>
      </c>
      <c r="E16">
        <v>59</v>
      </c>
      <c r="F16">
        <v>9.9830795262267305E-2</v>
      </c>
      <c r="G16" t="s">
        <v>226</v>
      </c>
    </row>
    <row r="17" spans="1:7" x14ac:dyDescent="0.2">
      <c r="A17" t="s">
        <v>225</v>
      </c>
      <c r="B17" t="s">
        <v>95</v>
      </c>
      <c r="C17" t="s">
        <v>54</v>
      </c>
      <c r="D17">
        <v>10286431</v>
      </c>
      <c r="E17">
        <v>52</v>
      </c>
      <c r="F17">
        <v>8.7986463620981406E-2</v>
      </c>
      <c r="G17" t="s">
        <v>226</v>
      </c>
    </row>
    <row r="18" spans="1:7" x14ac:dyDescent="0.2">
      <c r="A18" t="s">
        <v>225</v>
      </c>
      <c r="B18" t="s">
        <v>95</v>
      </c>
      <c r="C18" t="s">
        <v>46</v>
      </c>
      <c r="D18">
        <v>10286436</v>
      </c>
      <c r="E18">
        <v>65</v>
      </c>
      <c r="F18">
        <v>9.0027700831024904E-2</v>
      </c>
      <c r="G18" t="s">
        <v>227</v>
      </c>
    </row>
    <row r="19" spans="1:7" x14ac:dyDescent="0.2">
      <c r="A19" t="s">
        <v>225</v>
      </c>
      <c r="B19" t="s">
        <v>95</v>
      </c>
      <c r="C19" t="s">
        <v>54</v>
      </c>
      <c r="D19">
        <v>35713804</v>
      </c>
      <c r="E19">
        <v>58</v>
      </c>
      <c r="F19">
        <v>8.0332409972299207E-2</v>
      </c>
      <c r="G19" t="s">
        <v>227</v>
      </c>
    </row>
    <row r="20" spans="1:7" x14ac:dyDescent="0.2">
      <c r="A20" t="s">
        <v>225</v>
      </c>
      <c r="B20" t="s">
        <v>102</v>
      </c>
      <c r="C20" t="s">
        <v>46</v>
      </c>
      <c r="D20">
        <v>49697710</v>
      </c>
      <c r="E20">
        <v>54</v>
      </c>
      <c r="F20">
        <v>9.13705583756345E-2</v>
      </c>
      <c r="G20" t="s">
        <v>226</v>
      </c>
    </row>
    <row r="21" spans="1:7" x14ac:dyDescent="0.2">
      <c r="A21" t="s">
        <v>225</v>
      </c>
      <c r="B21" t="s">
        <v>102</v>
      </c>
      <c r="C21" t="s">
        <v>54</v>
      </c>
      <c r="D21">
        <v>49697705</v>
      </c>
      <c r="E21">
        <v>65</v>
      </c>
      <c r="F21">
        <v>9.0027700831024904E-2</v>
      </c>
      <c r="G21" t="s">
        <v>227</v>
      </c>
    </row>
    <row r="22" spans="1:7" x14ac:dyDescent="0.2">
      <c r="A22" t="s">
        <v>225</v>
      </c>
      <c r="B22" t="s">
        <v>108</v>
      </c>
      <c r="C22" t="s">
        <v>46</v>
      </c>
      <c r="D22">
        <v>95558327</v>
      </c>
      <c r="E22">
        <v>60</v>
      </c>
      <c r="F22">
        <v>0.101522842639594</v>
      </c>
      <c r="G22" t="s">
        <v>226</v>
      </c>
    </row>
    <row r="23" spans="1:7" x14ac:dyDescent="0.2">
      <c r="A23" t="s">
        <v>225</v>
      </c>
      <c r="B23" t="s">
        <v>108</v>
      </c>
      <c r="C23" t="s">
        <v>46</v>
      </c>
      <c r="D23">
        <v>156176999</v>
      </c>
      <c r="E23">
        <v>16</v>
      </c>
      <c r="F23">
        <v>2.7072758037225E-2</v>
      </c>
      <c r="G23" t="s">
        <v>226</v>
      </c>
    </row>
    <row r="24" spans="1:7" x14ac:dyDescent="0.2">
      <c r="A24" t="s">
        <v>225</v>
      </c>
      <c r="B24" t="s">
        <v>108</v>
      </c>
      <c r="C24" t="s">
        <v>54</v>
      </c>
      <c r="D24">
        <v>95558322</v>
      </c>
      <c r="E24">
        <v>69</v>
      </c>
      <c r="F24">
        <v>9.5567867036011098E-2</v>
      </c>
      <c r="G24" t="s">
        <v>227</v>
      </c>
    </row>
    <row r="25" spans="1:7" x14ac:dyDescent="0.2">
      <c r="A25" t="s">
        <v>225</v>
      </c>
      <c r="B25" t="s">
        <v>108</v>
      </c>
      <c r="C25" t="s">
        <v>54</v>
      </c>
      <c r="D25">
        <v>156176994</v>
      </c>
      <c r="E25">
        <v>14</v>
      </c>
      <c r="F25">
        <v>1.9390581717451501E-2</v>
      </c>
      <c r="G25" t="s">
        <v>227</v>
      </c>
    </row>
    <row r="26" spans="1:7" x14ac:dyDescent="0.2">
      <c r="A26" t="s">
        <v>225</v>
      </c>
      <c r="B26" t="s">
        <v>141</v>
      </c>
      <c r="C26" t="s">
        <v>54</v>
      </c>
      <c r="D26">
        <v>105891037</v>
      </c>
      <c r="E26">
        <v>58</v>
      </c>
      <c r="F26">
        <v>9.81387478849408E-2</v>
      </c>
      <c r="G26" t="s">
        <v>226</v>
      </c>
    </row>
    <row r="27" spans="1:7" x14ac:dyDescent="0.2">
      <c r="A27" t="s">
        <v>225</v>
      </c>
      <c r="B27" t="s">
        <v>141</v>
      </c>
      <c r="C27" t="s">
        <v>46</v>
      </c>
      <c r="D27">
        <v>105891042</v>
      </c>
      <c r="E27">
        <v>70</v>
      </c>
      <c r="F27">
        <v>9.6952908587257594E-2</v>
      </c>
      <c r="G27" t="s">
        <v>227</v>
      </c>
    </row>
    <row r="28" spans="1:7" x14ac:dyDescent="0.2">
      <c r="A28" t="s">
        <v>228</v>
      </c>
    </row>
    <row r="29" spans="1:7" x14ac:dyDescent="0.2">
      <c r="A29" t="s">
        <v>229</v>
      </c>
    </row>
    <row r="30" spans="1:7" x14ac:dyDescent="0.2">
      <c r="A30" t="s">
        <v>229</v>
      </c>
      <c r="B30" t="s">
        <v>60</v>
      </c>
      <c r="C30" t="s">
        <v>46</v>
      </c>
      <c r="D30">
        <v>125300478</v>
      </c>
      <c r="E30">
        <v>57</v>
      </c>
      <c r="F30">
        <v>8.7289433384379805E-2</v>
      </c>
      <c r="G30" t="s">
        <v>227</v>
      </c>
    </row>
    <row r="31" spans="1:7" x14ac:dyDescent="0.2">
      <c r="A31" t="s">
        <v>229</v>
      </c>
      <c r="B31" t="s">
        <v>75</v>
      </c>
      <c r="C31" t="s">
        <v>46</v>
      </c>
      <c r="D31">
        <v>114874312</v>
      </c>
      <c r="E31">
        <v>67</v>
      </c>
      <c r="F31">
        <v>0.11879432624113501</v>
      </c>
      <c r="G31" t="s">
        <v>226</v>
      </c>
    </row>
    <row r="32" spans="1:7" x14ac:dyDescent="0.2">
      <c r="A32" t="s">
        <v>229</v>
      </c>
      <c r="B32" t="s">
        <v>75</v>
      </c>
      <c r="C32" t="s">
        <v>54</v>
      </c>
      <c r="D32">
        <v>114874307</v>
      </c>
      <c r="E32">
        <v>65</v>
      </c>
      <c r="F32">
        <v>9.9540581929555894E-2</v>
      </c>
      <c r="G32" t="s">
        <v>227</v>
      </c>
    </row>
    <row r="33" spans="1:7" x14ac:dyDescent="0.2">
      <c r="A33" t="s">
        <v>229</v>
      </c>
      <c r="B33" t="s">
        <v>82</v>
      </c>
      <c r="C33" t="s">
        <v>54</v>
      </c>
      <c r="D33">
        <v>79350280</v>
      </c>
      <c r="E33">
        <v>64</v>
      </c>
      <c r="F33">
        <v>0.11347517730496499</v>
      </c>
      <c r="G33" t="s">
        <v>226</v>
      </c>
    </row>
    <row r="34" spans="1:7" x14ac:dyDescent="0.2">
      <c r="A34" t="s">
        <v>229</v>
      </c>
      <c r="B34" t="s">
        <v>82</v>
      </c>
      <c r="C34" t="s">
        <v>46</v>
      </c>
      <c r="D34">
        <v>79350285</v>
      </c>
      <c r="E34">
        <v>64</v>
      </c>
      <c r="F34">
        <v>9.80091883614089E-2</v>
      </c>
      <c r="G34" t="s">
        <v>227</v>
      </c>
    </row>
    <row r="35" spans="1:7" x14ac:dyDescent="0.2">
      <c r="A35" t="s">
        <v>229</v>
      </c>
      <c r="B35" t="s">
        <v>85</v>
      </c>
      <c r="C35" t="s">
        <v>46</v>
      </c>
      <c r="D35">
        <v>53119979</v>
      </c>
      <c r="E35">
        <v>71</v>
      </c>
      <c r="F35">
        <v>0.125886524822695</v>
      </c>
      <c r="G35" t="s">
        <v>226</v>
      </c>
    </row>
    <row r="36" spans="1:7" x14ac:dyDescent="0.2">
      <c r="A36" t="s">
        <v>229</v>
      </c>
      <c r="B36" t="s">
        <v>85</v>
      </c>
      <c r="C36" t="s">
        <v>54</v>
      </c>
      <c r="D36">
        <v>53119974</v>
      </c>
      <c r="E36">
        <v>68</v>
      </c>
      <c r="F36">
        <v>0.104134762633997</v>
      </c>
      <c r="G36" t="s">
        <v>227</v>
      </c>
    </row>
    <row r="37" spans="1:7" x14ac:dyDescent="0.2">
      <c r="A37" t="s">
        <v>229</v>
      </c>
      <c r="B37" t="s">
        <v>108</v>
      </c>
      <c r="C37" t="s">
        <v>46</v>
      </c>
      <c r="D37">
        <v>83826027</v>
      </c>
      <c r="E37">
        <v>59</v>
      </c>
      <c r="F37">
        <v>0.104609929078014</v>
      </c>
      <c r="G37" t="s">
        <v>226</v>
      </c>
    </row>
    <row r="38" spans="1:7" x14ac:dyDescent="0.2">
      <c r="A38" t="s">
        <v>229</v>
      </c>
      <c r="B38" t="s">
        <v>108</v>
      </c>
      <c r="C38" t="s">
        <v>54</v>
      </c>
      <c r="D38">
        <v>83826022</v>
      </c>
      <c r="E38">
        <v>24</v>
      </c>
      <c r="F38">
        <v>3.6753445635528299E-2</v>
      </c>
      <c r="G38" t="s">
        <v>227</v>
      </c>
    </row>
    <row r="39" spans="1:7" x14ac:dyDescent="0.2">
      <c r="A39" t="s">
        <v>229</v>
      </c>
      <c r="B39" t="s">
        <v>108</v>
      </c>
      <c r="C39" t="s">
        <v>54</v>
      </c>
      <c r="D39">
        <v>83826024</v>
      </c>
      <c r="E39">
        <v>11</v>
      </c>
      <c r="F39">
        <v>1.6845329249617201E-2</v>
      </c>
      <c r="G39" t="s">
        <v>227</v>
      </c>
    </row>
    <row r="40" spans="1:7" x14ac:dyDescent="0.2">
      <c r="A40" t="s">
        <v>229</v>
      </c>
      <c r="B40" t="s">
        <v>125</v>
      </c>
      <c r="C40" t="s">
        <v>54</v>
      </c>
      <c r="D40">
        <v>93007918</v>
      </c>
      <c r="E40">
        <v>60</v>
      </c>
      <c r="F40">
        <v>0.10638297872340401</v>
      </c>
      <c r="G40" t="s">
        <v>226</v>
      </c>
    </row>
    <row r="41" spans="1:7" x14ac:dyDescent="0.2">
      <c r="A41" t="s">
        <v>229</v>
      </c>
      <c r="B41" t="s">
        <v>125</v>
      </c>
      <c r="C41" t="s">
        <v>54</v>
      </c>
      <c r="D41">
        <v>99792736</v>
      </c>
      <c r="E41">
        <v>58</v>
      </c>
      <c r="F41">
        <v>0.102836879432624</v>
      </c>
      <c r="G41" t="s">
        <v>226</v>
      </c>
    </row>
    <row r="42" spans="1:7" x14ac:dyDescent="0.2">
      <c r="A42" t="s">
        <v>229</v>
      </c>
      <c r="B42" t="s">
        <v>125</v>
      </c>
      <c r="C42" t="s">
        <v>46</v>
      </c>
      <c r="D42">
        <v>93007923</v>
      </c>
      <c r="E42">
        <v>63</v>
      </c>
      <c r="F42">
        <v>9.6477794793261906E-2</v>
      </c>
      <c r="G42" t="s">
        <v>227</v>
      </c>
    </row>
    <row r="43" spans="1:7" x14ac:dyDescent="0.2">
      <c r="A43" t="s">
        <v>229</v>
      </c>
      <c r="B43" t="s">
        <v>125</v>
      </c>
      <c r="C43" t="s">
        <v>46</v>
      </c>
      <c r="D43">
        <v>99792741</v>
      </c>
      <c r="E43">
        <v>61</v>
      </c>
      <c r="F43">
        <v>9.3415007656967794E-2</v>
      </c>
      <c r="G43" t="s">
        <v>227</v>
      </c>
    </row>
    <row r="44" spans="1:7" x14ac:dyDescent="0.2">
      <c r="A44" t="s">
        <v>229</v>
      </c>
      <c r="B44" t="s">
        <v>134</v>
      </c>
      <c r="C44" t="s">
        <v>46</v>
      </c>
      <c r="D44">
        <v>126391965</v>
      </c>
      <c r="E44">
        <v>61</v>
      </c>
      <c r="F44">
        <v>0.108156028368794</v>
      </c>
      <c r="G44" t="s">
        <v>226</v>
      </c>
    </row>
    <row r="45" spans="1:7" x14ac:dyDescent="0.2">
      <c r="A45" t="s">
        <v>229</v>
      </c>
      <c r="B45" t="s">
        <v>134</v>
      </c>
      <c r="C45" t="s">
        <v>54</v>
      </c>
      <c r="D45">
        <v>126391960</v>
      </c>
      <c r="E45">
        <v>74</v>
      </c>
      <c r="F45">
        <v>0.113323124042879</v>
      </c>
      <c r="G45" t="s">
        <v>227</v>
      </c>
    </row>
    <row r="46" spans="1:7" x14ac:dyDescent="0.2">
      <c r="A46" t="s">
        <v>229</v>
      </c>
      <c r="B46" t="s">
        <v>155</v>
      </c>
      <c r="C46" t="s">
        <v>46</v>
      </c>
      <c r="D46">
        <v>84310942</v>
      </c>
      <c r="E46">
        <v>65</v>
      </c>
      <c r="F46">
        <v>0.115248226950355</v>
      </c>
      <c r="G46" t="s">
        <v>226</v>
      </c>
    </row>
    <row r="47" spans="1:7" x14ac:dyDescent="0.2">
      <c r="A47" t="s">
        <v>229</v>
      </c>
      <c r="B47" t="s">
        <v>155</v>
      </c>
      <c r="C47" t="s">
        <v>54</v>
      </c>
      <c r="D47">
        <v>84310937</v>
      </c>
      <c r="E47">
        <v>76</v>
      </c>
      <c r="F47">
        <v>0.116385911179173</v>
      </c>
      <c r="G47" t="s">
        <v>227</v>
      </c>
    </row>
    <row r="48" spans="1:7" x14ac:dyDescent="0.2">
      <c r="A48" t="s">
        <v>229</v>
      </c>
      <c r="B48" t="s">
        <v>164</v>
      </c>
      <c r="C48" t="s">
        <v>54</v>
      </c>
      <c r="D48">
        <v>7212436</v>
      </c>
      <c r="E48">
        <v>50</v>
      </c>
      <c r="F48">
        <v>8.8652482269503494E-2</v>
      </c>
      <c r="G48" t="s">
        <v>226</v>
      </c>
    </row>
    <row r="49" spans="1:7" x14ac:dyDescent="0.2">
      <c r="A49" t="s">
        <v>229</v>
      </c>
      <c r="B49" t="s">
        <v>164</v>
      </c>
      <c r="C49" t="s">
        <v>46</v>
      </c>
      <c r="D49">
        <v>7212441</v>
      </c>
      <c r="E49">
        <v>61</v>
      </c>
      <c r="F49">
        <v>9.3415007656967794E-2</v>
      </c>
      <c r="G49" t="s">
        <v>227</v>
      </c>
    </row>
    <row r="50" spans="1:7" x14ac:dyDescent="0.2">
      <c r="A50" t="s">
        <v>230</v>
      </c>
    </row>
    <row r="51" spans="1:7" x14ac:dyDescent="0.2">
      <c r="A51" t="s">
        <v>231</v>
      </c>
    </row>
    <row r="52" spans="1:7" x14ac:dyDescent="0.2">
      <c r="A52" t="s">
        <v>231</v>
      </c>
      <c r="B52" t="s">
        <v>45</v>
      </c>
      <c r="C52" t="s">
        <v>54</v>
      </c>
      <c r="D52">
        <v>97720968</v>
      </c>
      <c r="E52">
        <v>116</v>
      </c>
      <c r="F52">
        <v>0.29591836734693899</v>
      </c>
      <c r="G52" t="s">
        <v>226</v>
      </c>
    </row>
    <row r="53" spans="1:7" x14ac:dyDescent="0.2">
      <c r="A53" t="s">
        <v>231</v>
      </c>
      <c r="B53" t="s">
        <v>45</v>
      </c>
      <c r="C53" t="s">
        <v>46</v>
      </c>
      <c r="D53">
        <v>97720973</v>
      </c>
      <c r="E53">
        <v>72</v>
      </c>
      <c r="F53">
        <v>0.33333333333333298</v>
      </c>
      <c r="G53" t="s">
        <v>227</v>
      </c>
    </row>
    <row r="54" spans="1:7" x14ac:dyDescent="0.2">
      <c r="A54" t="s">
        <v>231</v>
      </c>
      <c r="B54" t="s">
        <v>72</v>
      </c>
      <c r="C54" t="s">
        <v>46</v>
      </c>
      <c r="D54">
        <v>103583721</v>
      </c>
      <c r="E54">
        <v>80</v>
      </c>
      <c r="F54">
        <v>0.20408163265306101</v>
      </c>
      <c r="G54" t="s">
        <v>226</v>
      </c>
    </row>
    <row r="55" spans="1:7" x14ac:dyDescent="0.2">
      <c r="A55" t="s">
        <v>231</v>
      </c>
      <c r="B55" t="s">
        <v>72</v>
      </c>
      <c r="C55" t="s">
        <v>54</v>
      </c>
      <c r="D55">
        <v>103583716</v>
      </c>
      <c r="E55">
        <v>80</v>
      </c>
      <c r="F55">
        <v>0.37037037037037002</v>
      </c>
      <c r="G55" t="s">
        <v>227</v>
      </c>
    </row>
    <row r="56" spans="1:7" x14ac:dyDescent="0.2">
      <c r="A56" t="s">
        <v>231</v>
      </c>
      <c r="B56" t="s">
        <v>108</v>
      </c>
      <c r="C56" t="s">
        <v>54</v>
      </c>
      <c r="D56">
        <v>154805268</v>
      </c>
      <c r="E56">
        <v>103</v>
      </c>
      <c r="F56">
        <v>0.26275510204081598</v>
      </c>
      <c r="G56" t="s">
        <v>226</v>
      </c>
    </row>
    <row r="57" spans="1:7" x14ac:dyDescent="0.2">
      <c r="A57" t="s">
        <v>231</v>
      </c>
      <c r="B57" t="s">
        <v>155</v>
      </c>
      <c r="C57" t="s">
        <v>46</v>
      </c>
      <c r="D57">
        <v>81401462</v>
      </c>
      <c r="E57">
        <v>86</v>
      </c>
      <c r="F57">
        <v>0.219387755102041</v>
      </c>
      <c r="G57" t="s">
        <v>226</v>
      </c>
    </row>
    <row r="58" spans="1:7" x14ac:dyDescent="0.2">
      <c r="A58" t="s">
        <v>231</v>
      </c>
      <c r="B58" t="s">
        <v>155</v>
      </c>
      <c r="C58" t="s">
        <v>54</v>
      </c>
      <c r="D58">
        <v>81401457</v>
      </c>
      <c r="E58">
        <v>51</v>
      </c>
      <c r="F58">
        <v>0.23611111111111099</v>
      </c>
      <c r="G58" t="s">
        <v>227</v>
      </c>
    </row>
    <row r="59" spans="1:7" x14ac:dyDescent="0.2">
      <c r="A59" t="s">
        <v>232</v>
      </c>
    </row>
    <row r="60" spans="1:7" x14ac:dyDescent="0.2">
      <c r="A60" t="s">
        <v>233</v>
      </c>
    </row>
    <row r="61" spans="1:7" x14ac:dyDescent="0.2">
      <c r="A61" t="s">
        <v>233</v>
      </c>
      <c r="B61" t="s">
        <v>90</v>
      </c>
      <c r="C61" t="s">
        <v>46</v>
      </c>
      <c r="D61">
        <v>77534311</v>
      </c>
      <c r="E61">
        <v>61</v>
      </c>
      <c r="F61">
        <v>0.173789173789174</v>
      </c>
      <c r="G61" t="s">
        <v>226</v>
      </c>
    </row>
    <row r="62" spans="1:7" x14ac:dyDescent="0.2">
      <c r="A62" t="s">
        <v>233</v>
      </c>
      <c r="B62" t="s">
        <v>90</v>
      </c>
      <c r="C62" t="s">
        <v>54</v>
      </c>
      <c r="D62">
        <v>77534306</v>
      </c>
      <c r="E62">
        <v>74</v>
      </c>
      <c r="F62">
        <v>0.20054200542005399</v>
      </c>
      <c r="G62" t="s">
        <v>227</v>
      </c>
    </row>
    <row r="63" spans="1:7" x14ac:dyDescent="0.2">
      <c r="A63" t="s">
        <v>233</v>
      </c>
      <c r="B63" t="s">
        <v>108</v>
      </c>
      <c r="C63" t="s">
        <v>54</v>
      </c>
      <c r="D63">
        <v>110142079</v>
      </c>
      <c r="E63">
        <v>52</v>
      </c>
      <c r="F63">
        <v>0.148148148148148</v>
      </c>
      <c r="G63" t="s">
        <v>226</v>
      </c>
    </row>
    <row r="64" spans="1:7" x14ac:dyDescent="0.2">
      <c r="A64" t="s">
        <v>233</v>
      </c>
      <c r="B64" t="s">
        <v>108</v>
      </c>
      <c r="C64" t="s">
        <v>46</v>
      </c>
      <c r="D64">
        <v>110142084</v>
      </c>
      <c r="E64">
        <v>45</v>
      </c>
      <c r="F64">
        <v>0.12195121951219499</v>
      </c>
      <c r="G64" t="s">
        <v>227</v>
      </c>
    </row>
    <row r="65" spans="1:7" x14ac:dyDescent="0.2">
      <c r="A65" t="s">
        <v>233</v>
      </c>
      <c r="B65" t="s">
        <v>134</v>
      </c>
      <c r="C65" t="s">
        <v>46</v>
      </c>
      <c r="D65">
        <v>17993922</v>
      </c>
      <c r="E65">
        <v>66</v>
      </c>
      <c r="F65">
        <v>0.188034188034188</v>
      </c>
      <c r="G65" t="s">
        <v>226</v>
      </c>
    </row>
    <row r="66" spans="1:7" x14ac:dyDescent="0.2">
      <c r="A66" t="s">
        <v>233</v>
      </c>
      <c r="B66" t="s">
        <v>134</v>
      </c>
      <c r="C66" t="s">
        <v>54</v>
      </c>
      <c r="D66">
        <v>17993917</v>
      </c>
      <c r="E66">
        <v>63</v>
      </c>
      <c r="F66">
        <v>0.17073170731707299</v>
      </c>
      <c r="G66" t="s">
        <v>227</v>
      </c>
    </row>
    <row r="67" spans="1:7" x14ac:dyDescent="0.2">
      <c r="A67" t="s">
        <v>233</v>
      </c>
      <c r="B67" t="s">
        <v>141</v>
      </c>
      <c r="C67" t="s">
        <v>54</v>
      </c>
      <c r="D67">
        <v>13063043</v>
      </c>
      <c r="E67">
        <v>67</v>
      </c>
      <c r="F67">
        <v>0.190883190883191</v>
      </c>
      <c r="G67" t="s">
        <v>226</v>
      </c>
    </row>
    <row r="68" spans="1:7" x14ac:dyDescent="0.2">
      <c r="A68" t="s">
        <v>233</v>
      </c>
      <c r="B68" t="s">
        <v>141</v>
      </c>
      <c r="C68" t="s">
        <v>54</v>
      </c>
      <c r="D68">
        <v>100041647</v>
      </c>
      <c r="E68">
        <v>25</v>
      </c>
      <c r="F68">
        <v>7.1225071225071199E-2</v>
      </c>
      <c r="G68" t="s">
        <v>226</v>
      </c>
    </row>
    <row r="69" spans="1:7" x14ac:dyDescent="0.2">
      <c r="A69" t="s">
        <v>233</v>
      </c>
      <c r="B69" t="s">
        <v>141</v>
      </c>
      <c r="C69" t="s">
        <v>46</v>
      </c>
      <c r="D69">
        <v>13063048</v>
      </c>
      <c r="E69">
        <v>71</v>
      </c>
      <c r="F69">
        <v>0.19241192411924099</v>
      </c>
      <c r="G69" t="s">
        <v>227</v>
      </c>
    </row>
    <row r="70" spans="1:7" x14ac:dyDescent="0.2">
      <c r="A70" t="s">
        <v>233</v>
      </c>
      <c r="B70" t="s">
        <v>141</v>
      </c>
      <c r="C70" t="s">
        <v>46</v>
      </c>
      <c r="D70">
        <v>100041652</v>
      </c>
      <c r="E70">
        <v>59</v>
      </c>
      <c r="F70">
        <v>0.159891598915989</v>
      </c>
      <c r="G70" t="s">
        <v>227</v>
      </c>
    </row>
    <row r="71" spans="1:7" x14ac:dyDescent="0.2">
      <c r="A71" t="s">
        <v>233</v>
      </c>
      <c r="B71" t="s">
        <v>167</v>
      </c>
      <c r="C71" t="s">
        <v>54</v>
      </c>
      <c r="D71">
        <v>69552123</v>
      </c>
      <c r="E71">
        <v>53</v>
      </c>
      <c r="F71">
        <v>0.150997150997151</v>
      </c>
      <c r="G71" t="s">
        <v>226</v>
      </c>
    </row>
    <row r="72" spans="1:7" x14ac:dyDescent="0.2">
      <c r="A72" t="s">
        <v>233</v>
      </c>
      <c r="B72" t="s">
        <v>167</v>
      </c>
      <c r="C72" t="s">
        <v>46</v>
      </c>
      <c r="D72">
        <v>69552128</v>
      </c>
      <c r="E72">
        <v>49</v>
      </c>
      <c r="F72">
        <v>0.13279132791327899</v>
      </c>
      <c r="G72" t="s">
        <v>227</v>
      </c>
    </row>
    <row r="73" spans="1:7" x14ac:dyDescent="0.2">
      <c r="A73" t="s">
        <v>234</v>
      </c>
    </row>
    <row r="74" spans="1:7" x14ac:dyDescent="0.2">
      <c r="A74" t="s">
        <v>235</v>
      </c>
    </row>
    <row r="75" spans="1:7" x14ac:dyDescent="0.2">
      <c r="A75" t="s">
        <v>235</v>
      </c>
      <c r="B75" t="s">
        <v>150</v>
      </c>
      <c r="C75" t="s">
        <v>54</v>
      </c>
      <c r="D75">
        <v>89096271</v>
      </c>
      <c r="E75">
        <v>100</v>
      </c>
      <c r="F75">
        <v>0.970873786407767</v>
      </c>
      <c r="G75" t="s">
        <v>226</v>
      </c>
    </row>
    <row r="76" spans="1:7" x14ac:dyDescent="0.2">
      <c r="A76" t="s">
        <v>235</v>
      </c>
      <c r="B76" t="s">
        <v>150</v>
      </c>
      <c r="C76" t="s">
        <v>46</v>
      </c>
      <c r="D76">
        <v>89096276</v>
      </c>
      <c r="E76">
        <v>98</v>
      </c>
      <c r="F76">
        <v>0.98989898989898994</v>
      </c>
      <c r="G76" t="s">
        <v>227</v>
      </c>
    </row>
    <row r="77" spans="1:7" x14ac:dyDescent="0.2">
      <c r="A77" t="s">
        <v>236</v>
      </c>
    </row>
    <row r="78" spans="1:7" x14ac:dyDescent="0.2">
      <c r="A78" t="s">
        <v>237</v>
      </c>
    </row>
    <row r="79" spans="1:7" x14ac:dyDescent="0.2">
      <c r="A79" t="s">
        <v>237</v>
      </c>
      <c r="B79" t="s">
        <v>108</v>
      </c>
      <c r="C79" t="s">
        <v>46</v>
      </c>
      <c r="D79">
        <v>156176999</v>
      </c>
      <c r="E79">
        <v>18</v>
      </c>
      <c r="F79">
        <v>0.42857142857142899</v>
      </c>
      <c r="G79" t="s">
        <v>226</v>
      </c>
    </row>
    <row r="80" spans="1:7" x14ac:dyDescent="0.2">
      <c r="A80" t="s">
        <v>237</v>
      </c>
      <c r="B80" t="s">
        <v>141</v>
      </c>
      <c r="C80" t="s">
        <v>54</v>
      </c>
      <c r="D80">
        <v>147510200</v>
      </c>
      <c r="E80">
        <v>14</v>
      </c>
      <c r="F80">
        <v>0.33333333333333298</v>
      </c>
      <c r="G80" t="s">
        <v>226</v>
      </c>
    </row>
    <row r="81" spans="1:7" x14ac:dyDescent="0.2">
      <c r="A81" t="s">
        <v>237</v>
      </c>
      <c r="B81" t="s">
        <v>141</v>
      </c>
      <c r="C81" t="s">
        <v>46</v>
      </c>
      <c r="D81">
        <v>147510205</v>
      </c>
      <c r="E81">
        <v>89</v>
      </c>
      <c r="F81">
        <v>0.956989247311828</v>
      </c>
      <c r="G81" t="s">
        <v>227</v>
      </c>
    </row>
    <row r="82" spans="1:7" x14ac:dyDescent="0.2">
      <c r="A82" t="s">
        <v>238</v>
      </c>
    </row>
    <row r="83" spans="1:7" x14ac:dyDescent="0.2">
      <c r="A83" t="s">
        <v>239</v>
      </c>
    </row>
    <row r="84" spans="1:7" x14ac:dyDescent="0.2">
      <c r="A84" t="s">
        <v>239</v>
      </c>
      <c r="B84" t="s">
        <v>108</v>
      </c>
      <c r="C84" t="s">
        <v>46</v>
      </c>
      <c r="D84">
        <v>156176999</v>
      </c>
      <c r="E84">
        <v>12</v>
      </c>
      <c r="F84">
        <v>0.105263157894737</v>
      </c>
      <c r="G84" t="s">
        <v>226</v>
      </c>
    </row>
    <row r="85" spans="1:7" x14ac:dyDescent="0.2">
      <c r="A85" t="s">
        <v>239</v>
      </c>
      <c r="B85" t="s">
        <v>150</v>
      </c>
      <c r="C85" t="s">
        <v>54</v>
      </c>
      <c r="D85">
        <v>89096271</v>
      </c>
      <c r="E85">
        <v>102</v>
      </c>
      <c r="F85">
        <v>0.89473684210526305</v>
      </c>
      <c r="G85" t="s">
        <v>226</v>
      </c>
    </row>
    <row r="86" spans="1:7" x14ac:dyDescent="0.2">
      <c r="A86" t="s">
        <v>239</v>
      </c>
      <c r="B86" t="s">
        <v>150</v>
      </c>
      <c r="C86" t="s">
        <v>46</v>
      </c>
      <c r="D86">
        <v>89096276</v>
      </c>
      <c r="E86">
        <v>85</v>
      </c>
      <c r="F86">
        <v>1</v>
      </c>
      <c r="G86" t="s">
        <v>227</v>
      </c>
    </row>
    <row r="87" spans="1:7" x14ac:dyDescent="0.2">
      <c r="A87" t="s">
        <v>240</v>
      </c>
    </row>
    <row r="88" spans="1:7" x14ac:dyDescent="0.2">
      <c r="A88" t="s">
        <v>241</v>
      </c>
    </row>
    <row r="89" spans="1:7" x14ac:dyDescent="0.2">
      <c r="A89" t="s">
        <v>241</v>
      </c>
      <c r="B89" t="s">
        <v>141</v>
      </c>
      <c r="C89" t="s">
        <v>54</v>
      </c>
      <c r="D89">
        <v>147510200</v>
      </c>
      <c r="E89">
        <v>21</v>
      </c>
      <c r="F89">
        <v>0.7</v>
      </c>
      <c r="G89" t="s">
        <v>226</v>
      </c>
    </row>
    <row r="90" spans="1:7" x14ac:dyDescent="0.2">
      <c r="A90" t="s">
        <v>241</v>
      </c>
      <c r="B90" t="s">
        <v>141</v>
      </c>
      <c r="C90" t="s">
        <v>46</v>
      </c>
      <c r="D90">
        <v>147510205</v>
      </c>
      <c r="E90">
        <v>62</v>
      </c>
      <c r="F90">
        <v>0.79487179487179505</v>
      </c>
      <c r="G90" t="s">
        <v>227</v>
      </c>
    </row>
    <row r="91" spans="1:7" x14ac:dyDescent="0.2">
      <c r="A91" t="s">
        <v>242</v>
      </c>
    </row>
    <row r="92" spans="1:7" x14ac:dyDescent="0.2">
      <c r="A92" t="s">
        <v>243</v>
      </c>
    </row>
    <row r="93" spans="1:7" x14ac:dyDescent="0.2">
      <c r="A93" t="s">
        <v>243</v>
      </c>
      <c r="B93" t="s">
        <v>150</v>
      </c>
      <c r="C93" t="s">
        <v>54</v>
      </c>
      <c r="D93">
        <v>89096271</v>
      </c>
      <c r="E93">
        <v>99</v>
      </c>
      <c r="F93">
        <v>1</v>
      </c>
      <c r="G93" t="s">
        <v>226</v>
      </c>
    </row>
    <row r="94" spans="1:7" x14ac:dyDescent="0.2">
      <c r="A94" t="s">
        <v>243</v>
      </c>
      <c r="B94" t="s">
        <v>150</v>
      </c>
      <c r="C94" t="s">
        <v>46</v>
      </c>
      <c r="D94">
        <v>89096276</v>
      </c>
      <c r="E94">
        <v>101</v>
      </c>
      <c r="F94">
        <v>1</v>
      </c>
      <c r="G94" t="s">
        <v>227</v>
      </c>
    </row>
    <row r="95" spans="1:7" x14ac:dyDescent="0.2">
      <c r="A95" t="s">
        <v>244</v>
      </c>
    </row>
    <row r="96" spans="1:7" x14ac:dyDescent="0.2">
      <c r="A96" t="s">
        <v>245</v>
      </c>
    </row>
    <row r="97" spans="1:7" x14ac:dyDescent="0.2">
      <c r="A97" t="s">
        <v>245</v>
      </c>
      <c r="B97" t="s">
        <v>150</v>
      </c>
      <c r="C97" t="s">
        <v>54</v>
      </c>
      <c r="D97">
        <v>89096271</v>
      </c>
      <c r="E97">
        <v>130</v>
      </c>
      <c r="F97">
        <v>1</v>
      </c>
      <c r="G97" t="s">
        <v>226</v>
      </c>
    </row>
    <row r="98" spans="1:7" x14ac:dyDescent="0.2">
      <c r="A98" t="s">
        <v>245</v>
      </c>
      <c r="B98" t="s">
        <v>150</v>
      </c>
      <c r="C98" t="s">
        <v>46</v>
      </c>
      <c r="D98">
        <v>89096276</v>
      </c>
      <c r="E98">
        <v>130</v>
      </c>
      <c r="F98">
        <v>0.977443609022556</v>
      </c>
      <c r="G98" t="s">
        <v>227</v>
      </c>
    </row>
    <row r="99" spans="1:7" x14ac:dyDescent="0.2">
      <c r="A99" t="s">
        <v>246</v>
      </c>
    </row>
    <row r="100" spans="1:7" x14ac:dyDescent="0.2">
      <c r="A100" t="s">
        <v>247</v>
      </c>
    </row>
    <row r="101" spans="1:7" x14ac:dyDescent="0.2">
      <c r="A101" t="s">
        <v>247</v>
      </c>
      <c r="B101" t="s">
        <v>150</v>
      </c>
      <c r="C101" t="s">
        <v>54</v>
      </c>
      <c r="D101">
        <v>89096271</v>
      </c>
      <c r="E101">
        <v>93</v>
      </c>
      <c r="F101">
        <v>0.98936170212765995</v>
      </c>
      <c r="G101" t="s">
        <v>226</v>
      </c>
    </row>
    <row r="102" spans="1:7" x14ac:dyDescent="0.2">
      <c r="A102" t="s">
        <v>247</v>
      </c>
      <c r="B102" t="s">
        <v>150</v>
      </c>
      <c r="C102" t="s">
        <v>46</v>
      </c>
      <c r="D102">
        <v>89096276</v>
      </c>
      <c r="E102">
        <v>81</v>
      </c>
      <c r="F102">
        <v>1</v>
      </c>
      <c r="G102" t="s">
        <v>227</v>
      </c>
    </row>
    <row r="103" spans="1:7" x14ac:dyDescent="0.2">
      <c r="A103" t="s">
        <v>248</v>
      </c>
    </row>
    <row r="104" spans="1:7" x14ac:dyDescent="0.2">
      <c r="A104" t="s">
        <v>249</v>
      </c>
    </row>
    <row r="105" spans="1:7" x14ac:dyDescent="0.2">
      <c r="A105" t="s">
        <v>249</v>
      </c>
      <c r="B105" t="s">
        <v>108</v>
      </c>
      <c r="C105" t="s">
        <v>46</v>
      </c>
      <c r="D105">
        <v>112383784</v>
      </c>
      <c r="E105">
        <v>118</v>
      </c>
      <c r="F105">
        <v>0.97520661157024802</v>
      </c>
      <c r="G105" t="s">
        <v>227</v>
      </c>
    </row>
    <row r="106" spans="1:7" x14ac:dyDescent="0.2">
      <c r="A106" t="s">
        <v>250</v>
      </c>
    </row>
    <row r="107" spans="1:7" x14ac:dyDescent="0.2">
      <c r="A107" t="s">
        <v>251</v>
      </c>
    </row>
    <row r="108" spans="1:7" x14ac:dyDescent="0.2">
      <c r="A108" t="s">
        <v>251</v>
      </c>
      <c r="B108" t="s">
        <v>150</v>
      </c>
      <c r="C108" t="s">
        <v>54</v>
      </c>
      <c r="D108">
        <v>89096271</v>
      </c>
      <c r="E108">
        <v>121</v>
      </c>
      <c r="F108">
        <v>0.99180327868852503</v>
      </c>
      <c r="G108" t="s">
        <v>226</v>
      </c>
    </row>
    <row r="109" spans="1:7" x14ac:dyDescent="0.2">
      <c r="A109" t="s">
        <v>251</v>
      </c>
      <c r="B109" t="s">
        <v>150</v>
      </c>
      <c r="C109" t="s">
        <v>46</v>
      </c>
      <c r="D109">
        <v>89096276</v>
      </c>
      <c r="E109">
        <v>130</v>
      </c>
      <c r="F109">
        <v>0.98484848484848497</v>
      </c>
      <c r="G109" t="s">
        <v>227</v>
      </c>
    </row>
    <row r="110" spans="1:7" x14ac:dyDescent="0.2">
      <c r="A110" t="s">
        <v>252</v>
      </c>
    </row>
    <row r="111" spans="1:7" x14ac:dyDescent="0.2">
      <c r="A111" t="s">
        <v>253</v>
      </c>
    </row>
    <row r="112" spans="1:7" x14ac:dyDescent="0.2">
      <c r="A112" t="s">
        <v>253</v>
      </c>
      <c r="B112" t="s">
        <v>150</v>
      </c>
      <c r="C112" t="s">
        <v>54</v>
      </c>
      <c r="D112">
        <v>89096271</v>
      </c>
      <c r="E112">
        <v>110</v>
      </c>
      <c r="F112">
        <v>1</v>
      </c>
      <c r="G112" t="s">
        <v>226</v>
      </c>
    </row>
    <row r="113" spans="1:7" x14ac:dyDescent="0.2">
      <c r="A113" t="s">
        <v>253</v>
      </c>
      <c r="B113" t="s">
        <v>150</v>
      </c>
      <c r="C113" t="s">
        <v>46</v>
      </c>
      <c r="D113">
        <v>89096276</v>
      </c>
      <c r="E113">
        <v>106</v>
      </c>
      <c r="F113">
        <v>1</v>
      </c>
      <c r="G113" t="s">
        <v>227</v>
      </c>
    </row>
    <row r="114" spans="1:7" x14ac:dyDescent="0.2">
      <c r="A114" t="s">
        <v>254</v>
      </c>
    </row>
    <row r="115" spans="1:7" x14ac:dyDescent="0.2">
      <c r="A115" t="s">
        <v>255</v>
      </c>
    </row>
    <row r="116" spans="1:7" x14ac:dyDescent="0.2">
      <c r="A116" t="s">
        <v>255</v>
      </c>
      <c r="B116" t="s">
        <v>108</v>
      </c>
      <c r="C116" t="s">
        <v>54</v>
      </c>
      <c r="D116">
        <v>156176994</v>
      </c>
      <c r="E116">
        <v>11</v>
      </c>
      <c r="F116">
        <v>0.10891089108910899</v>
      </c>
      <c r="G116" t="s">
        <v>227</v>
      </c>
    </row>
    <row r="117" spans="1:7" x14ac:dyDescent="0.2">
      <c r="A117" t="s">
        <v>255</v>
      </c>
      <c r="B117" t="s">
        <v>150</v>
      </c>
      <c r="C117" t="s">
        <v>54</v>
      </c>
      <c r="D117">
        <v>89096271</v>
      </c>
      <c r="E117">
        <v>88</v>
      </c>
      <c r="F117">
        <v>0.97777777777777797</v>
      </c>
      <c r="G117" t="s">
        <v>226</v>
      </c>
    </row>
    <row r="118" spans="1:7" x14ac:dyDescent="0.2">
      <c r="A118" t="s">
        <v>255</v>
      </c>
      <c r="B118" t="s">
        <v>150</v>
      </c>
      <c r="C118" t="s">
        <v>46</v>
      </c>
      <c r="D118">
        <v>89096276</v>
      </c>
      <c r="E118">
        <v>90</v>
      </c>
      <c r="F118">
        <v>0.89108910891089099</v>
      </c>
      <c r="G118" t="s">
        <v>227</v>
      </c>
    </row>
    <row r="119" spans="1:7" x14ac:dyDescent="0.2">
      <c r="A119" t="s">
        <v>256</v>
      </c>
    </row>
    <row r="120" spans="1:7" x14ac:dyDescent="0.2">
      <c r="A120" t="s">
        <v>257</v>
      </c>
    </row>
    <row r="121" spans="1:7" x14ac:dyDescent="0.2">
      <c r="A121" t="s">
        <v>257</v>
      </c>
      <c r="B121" t="s">
        <v>108</v>
      </c>
      <c r="C121" t="s">
        <v>54</v>
      </c>
      <c r="D121">
        <v>156176994</v>
      </c>
      <c r="E121">
        <v>16</v>
      </c>
      <c r="F121">
        <v>0.16161616161616199</v>
      </c>
      <c r="G121" t="s">
        <v>227</v>
      </c>
    </row>
    <row r="122" spans="1:7" x14ac:dyDescent="0.2">
      <c r="A122" t="s">
        <v>257</v>
      </c>
      <c r="B122" t="s">
        <v>141</v>
      </c>
      <c r="C122" t="s">
        <v>54</v>
      </c>
      <c r="D122">
        <v>147510200</v>
      </c>
      <c r="E122">
        <v>17</v>
      </c>
      <c r="F122">
        <v>0.68</v>
      </c>
      <c r="G122" t="s">
        <v>226</v>
      </c>
    </row>
    <row r="123" spans="1:7" x14ac:dyDescent="0.2">
      <c r="A123" t="s">
        <v>257</v>
      </c>
      <c r="B123" t="s">
        <v>141</v>
      </c>
      <c r="C123" t="s">
        <v>46</v>
      </c>
      <c r="D123">
        <v>147510205</v>
      </c>
      <c r="E123">
        <v>79</v>
      </c>
      <c r="F123">
        <v>0.79797979797979801</v>
      </c>
      <c r="G123" t="s">
        <v>227</v>
      </c>
    </row>
    <row r="124" spans="1:7" x14ac:dyDescent="0.2">
      <c r="A124" t="s">
        <v>258</v>
      </c>
    </row>
    <row r="125" spans="1:7" x14ac:dyDescent="0.2">
      <c r="A125" t="s">
        <v>259</v>
      </c>
    </row>
    <row r="126" spans="1:7" x14ac:dyDescent="0.2">
      <c r="A126" t="s">
        <v>259</v>
      </c>
      <c r="B126" t="s">
        <v>150</v>
      </c>
      <c r="C126" t="s">
        <v>54</v>
      </c>
      <c r="D126">
        <v>89096271</v>
      </c>
      <c r="E126">
        <v>97</v>
      </c>
      <c r="F126">
        <v>0.98979591836734704</v>
      </c>
      <c r="G126" t="s">
        <v>226</v>
      </c>
    </row>
    <row r="127" spans="1:7" x14ac:dyDescent="0.2">
      <c r="A127" t="s">
        <v>259</v>
      </c>
      <c r="B127" t="s">
        <v>150</v>
      </c>
      <c r="C127" t="s">
        <v>46</v>
      </c>
      <c r="D127">
        <v>89096276</v>
      </c>
      <c r="E127">
        <v>126</v>
      </c>
      <c r="F127">
        <v>1</v>
      </c>
      <c r="G127" t="s">
        <v>227</v>
      </c>
    </row>
    <row r="128" spans="1:7" x14ac:dyDescent="0.2">
      <c r="A128" t="s">
        <v>260</v>
      </c>
    </row>
    <row r="129" spans="1:7" x14ac:dyDescent="0.2">
      <c r="A129" t="s">
        <v>261</v>
      </c>
    </row>
    <row r="130" spans="1:7" x14ac:dyDescent="0.2">
      <c r="A130" t="s">
        <v>261</v>
      </c>
      <c r="B130" t="s">
        <v>60</v>
      </c>
      <c r="C130" t="s">
        <v>46</v>
      </c>
      <c r="D130">
        <v>24508814</v>
      </c>
      <c r="E130">
        <v>75</v>
      </c>
      <c r="F130">
        <v>0.949367088607595</v>
      </c>
      <c r="G130" t="s">
        <v>226</v>
      </c>
    </row>
    <row r="131" spans="1:7" x14ac:dyDescent="0.2">
      <c r="A131" t="s">
        <v>261</v>
      </c>
      <c r="B131" t="s">
        <v>60</v>
      </c>
      <c r="C131" t="s">
        <v>54</v>
      </c>
      <c r="D131">
        <v>24508809</v>
      </c>
      <c r="E131">
        <v>90</v>
      </c>
      <c r="F131">
        <v>0.98901098901098905</v>
      </c>
      <c r="G131" t="s">
        <v>227</v>
      </c>
    </row>
    <row r="132" spans="1:7" x14ac:dyDescent="0.2">
      <c r="A132" t="s">
        <v>262</v>
      </c>
    </row>
    <row r="133" spans="1:7" x14ac:dyDescent="0.2">
      <c r="A133" t="s">
        <v>263</v>
      </c>
    </row>
    <row r="134" spans="1:7" x14ac:dyDescent="0.2">
      <c r="A134" t="s">
        <v>263</v>
      </c>
      <c r="B134" t="s">
        <v>150</v>
      </c>
      <c r="C134" t="s">
        <v>54</v>
      </c>
      <c r="D134">
        <v>89096271</v>
      </c>
      <c r="E134">
        <v>93</v>
      </c>
      <c r="F134">
        <v>0.98936170212765995</v>
      </c>
      <c r="G134" t="s">
        <v>226</v>
      </c>
    </row>
    <row r="135" spans="1:7" x14ac:dyDescent="0.2">
      <c r="A135" t="s">
        <v>263</v>
      </c>
      <c r="B135" t="s">
        <v>150</v>
      </c>
      <c r="C135" t="s">
        <v>46</v>
      </c>
      <c r="D135">
        <v>89096276</v>
      </c>
      <c r="E135">
        <v>107</v>
      </c>
      <c r="F135">
        <v>0.98165137614678899</v>
      </c>
      <c r="G135" t="s">
        <v>227</v>
      </c>
    </row>
    <row r="136" spans="1:7" x14ac:dyDescent="0.2">
      <c r="A136" t="s">
        <v>264</v>
      </c>
    </row>
    <row r="137" spans="1:7" x14ac:dyDescent="0.2">
      <c r="A137" t="s">
        <v>265</v>
      </c>
    </row>
    <row r="138" spans="1:7" x14ac:dyDescent="0.2">
      <c r="A138" t="s">
        <v>265</v>
      </c>
      <c r="B138" t="s">
        <v>150</v>
      </c>
      <c r="C138" t="s">
        <v>54</v>
      </c>
      <c r="D138">
        <v>89096271</v>
      </c>
      <c r="E138">
        <v>75</v>
      </c>
      <c r="F138">
        <v>0.98684210526315796</v>
      </c>
      <c r="G138" t="s">
        <v>226</v>
      </c>
    </row>
    <row r="139" spans="1:7" x14ac:dyDescent="0.2">
      <c r="A139" t="s">
        <v>265</v>
      </c>
      <c r="B139" t="s">
        <v>150</v>
      </c>
      <c r="C139" t="s">
        <v>46</v>
      </c>
      <c r="D139">
        <v>89096276</v>
      </c>
      <c r="E139">
        <v>82</v>
      </c>
      <c r="F139">
        <v>1</v>
      </c>
      <c r="G139" t="s">
        <v>227</v>
      </c>
    </row>
    <row r="140" spans="1:7" x14ac:dyDescent="0.2">
      <c r="A140" t="s">
        <v>266</v>
      </c>
    </row>
    <row r="141" spans="1:7" x14ac:dyDescent="0.2">
      <c r="A141" t="s">
        <v>267</v>
      </c>
    </row>
    <row r="142" spans="1:7" x14ac:dyDescent="0.2">
      <c r="A142" t="s">
        <v>267</v>
      </c>
      <c r="B142" t="s">
        <v>141</v>
      </c>
      <c r="C142" t="s">
        <v>54</v>
      </c>
      <c r="D142">
        <v>147510200</v>
      </c>
      <c r="E142">
        <v>17</v>
      </c>
      <c r="F142">
        <v>0.70833333333333304</v>
      </c>
      <c r="G142" t="s">
        <v>226</v>
      </c>
    </row>
    <row r="143" spans="1:7" x14ac:dyDescent="0.2">
      <c r="A143" t="s">
        <v>267</v>
      </c>
      <c r="B143" t="s">
        <v>141</v>
      </c>
      <c r="C143" t="s">
        <v>46</v>
      </c>
      <c r="D143">
        <v>147510205</v>
      </c>
      <c r="E143">
        <v>93</v>
      </c>
      <c r="F143">
        <v>0.93</v>
      </c>
      <c r="G143" t="s">
        <v>227</v>
      </c>
    </row>
    <row r="144" spans="1:7" x14ac:dyDescent="0.2">
      <c r="A144" t="s">
        <v>268</v>
      </c>
    </row>
    <row r="145" spans="1:7" x14ac:dyDescent="0.2">
      <c r="A145" t="s">
        <v>269</v>
      </c>
    </row>
    <row r="146" spans="1:7" x14ac:dyDescent="0.2">
      <c r="A146" t="s">
        <v>269</v>
      </c>
      <c r="B146" t="s">
        <v>125</v>
      </c>
      <c r="C146" t="s">
        <v>54</v>
      </c>
      <c r="D146">
        <v>69010664</v>
      </c>
      <c r="E146">
        <v>116</v>
      </c>
      <c r="F146">
        <v>0.99145299145299104</v>
      </c>
      <c r="G146" t="s">
        <v>226</v>
      </c>
    </row>
    <row r="147" spans="1:7" x14ac:dyDescent="0.2">
      <c r="A147" t="s">
        <v>269</v>
      </c>
      <c r="B147" t="s">
        <v>125</v>
      </c>
      <c r="C147" t="s">
        <v>46</v>
      </c>
      <c r="D147">
        <v>69010669</v>
      </c>
      <c r="E147">
        <v>79</v>
      </c>
      <c r="F147">
        <v>0.98750000000000004</v>
      </c>
      <c r="G147" t="s">
        <v>227</v>
      </c>
    </row>
    <row r="148" spans="1:7" x14ac:dyDescent="0.2">
      <c r="A148" t="s">
        <v>270</v>
      </c>
    </row>
    <row r="149" spans="1:7" x14ac:dyDescent="0.2">
      <c r="A149" t="s">
        <v>271</v>
      </c>
    </row>
    <row r="150" spans="1:7" x14ac:dyDescent="0.2">
      <c r="A150" t="s">
        <v>271</v>
      </c>
      <c r="B150" t="s">
        <v>167</v>
      </c>
      <c r="C150" t="s">
        <v>46</v>
      </c>
      <c r="D150">
        <v>56667159</v>
      </c>
      <c r="E150">
        <v>58</v>
      </c>
      <c r="F150">
        <v>1</v>
      </c>
      <c r="G150" t="s">
        <v>226</v>
      </c>
    </row>
    <row r="151" spans="1:7" x14ac:dyDescent="0.2">
      <c r="A151" t="s">
        <v>271</v>
      </c>
      <c r="B151" t="s">
        <v>167</v>
      </c>
      <c r="C151" t="s">
        <v>54</v>
      </c>
      <c r="D151">
        <v>56667154</v>
      </c>
      <c r="E151">
        <v>49</v>
      </c>
      <c r="F151">
        <v>1</v>
      </c>
      <c r="G151" t="s">
        <v>227</v>
      </c>
    </row>
    <row r="152" spans="1:7" x14ac:dyDescent="0.2">
      <c r="A152" t="s">
        <v>272</v>
      </c>
    </row>
    <row r="153" spans="1:7" x14ac:dyDescent="0.2">
      <c r="A153" t="s">
        <v>273</v>
      </c>
    </row>
    <row r="154" spans="1:7" x14ac:dyDescent="0.2">
      <c r="A154" t="s">
        <v>273</v>
      </c>
      <c r="B154" t="s">
        <v>45</v>
      </c>
      <c r="C154" t="s">
        <v>46</v>
      </c>
      <c r="D154">
        <v>71902314</v>
      </c>
      <c r="E154">
        <v>54</v>
      </c>
      <c r="F154">
        <v>0.35294117647058798</v>
      </c>
      <c r="G154" t="s">
        <v>226</v>
      </c>
    </row>
    <row r="155" spans="1:7" x14ac:dyDescent="0.2">
      <c r="A155" t="s">
        <v>273</v>
      </c>
      <c r="B155" t="s">
        <v>45</v>
      </c>
      <c r="C155" t="s">
        <v>54</v>
      </c>
      <c r="D155">
        <v>71902309</v>
      </c>
      <c r="E155">
        <v>46</v>
      </c>
      <c r="F155">
        <v>0.36220472440944901</v>
      </c>
      <c r="G155" t="s">
        <v>227</v>
      </c>
    </row>
    <row r="156" spans="1:7" x14ac:dyDescent="0.2">
      <c r="A156" t="s">
        <v>273</v>
      </c>
      <c r="B156" t="s">
        <v>108</v>
      </c>
      <c r="C156" t="s">
        <v>54</v>
      </c>
      <c r="D156">
        <v>5878284</v>
      </c>
      <c r="E156">
        <v>53</v>
      </c>
      <c r="F156">
        <v>0.34640522875816998</v>
      </c>
      <c r="G156" t="s">
        <v>226</v>
      </c>
    </row>
    <row r="157" spans="1:7" x14ac:dyDescent="0.2">
      <c r="A157" t="s">
        <v>273</v>
      </c>
      <c r="B157" t="s">
        <v>108</v>
      </c>
      <c r="C157" t="s">
        <v>46</v>
      </c>
      <c r="D157">
        <v>5878289</v>
      </c>
      <c r="E157">
        <v>37</v>
      </c>
      <c r="F157">
        <v>0.291338582677165</v>
      </c>
      <c r="G157" t="s">
        <v>227</v>
      </c>
    </row>
    <row r="158" spans="1:7" x14ac:dyDescent="0.2">
      <c r="A158" t="s">
        <v>273</v>
      </c>
      <c r="B158" t="s">
        <v>150</v>
      </c>
      <c r="C158" t="s">
        <v>46</v>
      </c>
      <c r="D158">
        <v>56716752</v>
      </c>
      <c r="E158">
        <v>46</v>
      </c>
      <c r="F158">
        <v>0.30065359477124198</v>
      </c>
      <c r="G158" t="s">
        <v>226</v>
      </c>
    </row>
    <row r="159" spans="1:7" x14ac:dyDescent="0.2">
      <c r="A159" t="s">
        <v>273</v>
      </c>
      <c r="B159" t="s">
        <v>150</v>
      </c>
      <c r="C159" t="s">
        <v>54</v>
      </c>
      <c r="D159">
        <v>56716747</v>
      </c>
      <c r="E159">
        <v>42</v>
      </c>
      <c r="F159">
        <v>0.33070866141732302</v>
      </c>
      <c r="G159" t="s">
        <v>227</v>
      </c>
    </row>
    <row r="160" spans="1:7" x14ac:dyDescent="0.2">
      <c r="A160" t="s">
        <v>274</v>
      </c>
    </row>
    <row r="161" spans="1:7" x14ac:dyDescent="0.2">
      <c r="A161" t="s">
        <v>275</v>
      </c>
    </row>
    <row r="162" spans="1:7" x14ac:dyDescent="0.2">
      <c r="A162" t="s">
        <v>275</v>
      </c>
      <c r="B162" t="s">
        <v>102</v>
      </c>
      <c r="C162" t="s">
        <v>54</v>
      </c>
      <c r="D162">
        <v>42565805</v>
      </c>
      <c r="E162">
        <v>62</v>
      </c>
      <c r="F162">
        <v>0.62626262626262597</v>
      </c>
      <c r="G162" t="s">
        <v>226</v>
      </c>
    </row>
    <row r="163" spans="1:7" x14ac:dyDescent="0.2">
      <c r="A163" t="s">
        <v>275</v>
      </c>
      <c r="B163" t="s">
        <v>102</v>
      </c>
      <c r="C163" t="s">
        <v>46</v>
      </c>
      <c r="D163">
        <v>42565810</v>
      </c>
      <c r="E163">
        <v>51</v>
      </c>
      <c r="F163">
        <v>0.87931034482758597</v>
      </c>
      <c r="G163" t="s">
        <v>227</v>
      </c>
    </row>
    <row r="164" spans="1:7" x14ac:dyDescent="0.2">
      <c r="A164" t="s">
        <v>275</v>
      </c>
      <c r="B164" t="s">
        <v>134</v>
      </c>
      <c r="C164" t="s">
        <v>54</v>
      </c>
      <c r="D164">
        <v>119566032</v>
      </c>
      <c r="E164">
        <v>37</v>
      </c>
      <c r="F164">
        <v>0.37373737373737398</v>
      </c>
      <c r="G164" t="s">
        <v>226</v>
      </c>
    </row>
    <row r="165" spans="1:7" x14ac:dyDescent="0.2">
      <c r="A165" t="s">
        <v>276</v>
      </c>
    </row>
    <row r="166" spans="1:7" x14ac:dyDescent="0.2">
      <c r="A166" t="s">
        <v>277</v>
      </c>
    </row>
    <row r="167" spans="1:7" x14ac:dyDescent="0.2">
      <c r="A167" t="s">
        <v>277</v>
      </c>
      <c r="B167" t="s">
        <v>108</v>
      </c>
      <c r="C167" t="s">
        <v>46</v>
      </c>
      <c r="D167">
        <v>156176999</v>
      </c>
      <c r="E167">
        <v>103</v>
      </c>
      <c r="F167">
        <v>1</v>
      </c>
      <c r="G167" t="s">
        <v>226</v>
      </c>
    </row>
    <row r="168" spans="1:7" x14ac:dyDescent="0.2">
      <c r="A168" t="s">
        <v>277</v>
      </c>
      <c r="B168" t="s">
        <v>108</v>
      </c>
      <c r="C168" t="s">
        <v>54</v>
      </c>
      <c r="D168">
        <v>156176994</v>
      </c>
      <c r="E168">
        <v>89</v>
      </c>
      <c r="F168">
        <v>1</v>
      </c>
      <c r="G168" t="s">
        <v>227</v>
      </c>
    </row>
    <row r="169" spans="1:7" x14ac:dyDescent="0.2">
      <c r="A169" t="s">
        <v>278</v>
      </c>
    </row>
    <row r="170" spans="1:7" x14ac:dyDescent="0.2">
      <c r="A170" t="s">
        <v>279</v>
      </c>
    </row>
    <row r="171" spans="1:7" x14ac:dyDescent="0.2">
      <c r="A171" t="s">
        <v>279</v>
      </c>
      <c r="B171" t="s">
        <v>108</v>
      </c>
      <c r="C171" t="s">
        <v>46</v>
      </c>
      <c r="D171">
        <v>156176999</v>
      </c>
      <c r="E171">
        <v>81</v>
      </c>
      <c r="F171">
        <v>1</v>
      </c>
      <c r="G171" t="s">
        <v>226</v>
      </c>
    </row>
    <row r="172" spans="1:7" x14ac:dyDescent="0.2">
      <c r="A172" t="s">
        <v>279</v>
      </c>
      <c r="B172" t="s">
        <v>108</v>
      </c>
      <c r="C172" t="s">
        <v>54</v>
      </c>
      <c r="D172">
        <v>156176994</v>
      </c>
      <c r="E172">
        <v>68</v>
      </c>
      <c r="F172">
        <v>1</v>
      </c>
      <c r="G172" t="s">
        <v>227</v>
      </c>
    </row>
    <row r="173" spans="1:7" x14ac:dyDescent="0.2">
      <c r="A173" t="s">
        <v>280</v>
      </c>
    </row>
    <row r="174" spans="1:7" x14ac:dyDescent="0.2">
      <c r="A174" t="s">
        <v>281</v>
      </c>
    </row>
    <row r="175" spans="1:7" x14ac:dyDescent="0.2">
      <c r="A175" t="s">
        <v>281</v>
      </c>
      <c r="B175" t="s">
        <v>108</v>
      </c>
      <c r="C175" t="s">
        <v>54</v>
      </c>
      <c r="D175">
        <v>156176994</v>
      </c>
      <c r="E175">
        <v>18</v>
      </c>
      <c r="F175">
        <v>1</v>
      </c>
      <c r="G175" t="s">
        <v>227</v>
      </c>
    </row>
    <row r="176" spans="1:7" x14ac:dyDescent="0.2">
      <c r="A176" t="s">
        <v>282</v>
      </c>
    </row>
    <row r="177" spans="1:7" x14ac:dyDescent="0.2">
      <c r="A177" t="s">
        <v>283</v>
      </c>
    </row>
    <row r="178" spans="1:7" x14ac:dyDescent="0.2">
      <c r="A178" t="s">
        <v>283</v>
      </c>
      <c r="B178" t="s">
        <v>67</v>
      </c>
      <c r="C178" t="s">
        <v>54</v>
      </c>
      <c r="D178">
        <v>48805343</v>
      </c>
      <c r="E178">
        <v>134</v>
      </c>
      <c r="F178">
        <v>1</v>
      </c>
      <c r="G178" t="s">
        <v>226</v>
      </c>
    </row>
    <row r="179" spans="1:7" x14ac:dyDescent="0.2">
      <c r="A179" t="s">
        <v>283</v>
      </c>
      <c r="B179" t="s">
        <v>67</v>
      </c>
      <c r="C179" t="s">
        <v>46</v>
      </c>
      <c r="D179">
        <v>48805348</v>
      </c>
      <c r="E179">
        <v>122</v>
      </c>
      <c r="F179">
        <v>0.98387096774193505</v>
      </c>
      <c r="G179" t="s">
        <v>227</v>
      </c>
    </row>
    <row r="180" spans="1:7" x14ac:dyDescent="0.2">
      <c r="A180" t="s">
        <v>284</v>
      </c>
    </row>
    <row r="181" spans="1:7" x14ac:dyDescent="0.2">
      <c r="A181" t="s">
        <v>285</v>
      </c>
    </row>
    <row r="182" spans="1:7" x14ac:dyDescent="0.2">
      <c r="A182" t="s">
        <v>285</v>
      </c>
      <c r="B182" t="s">
        <v>108</v>
      </c>
      <c r="C182" t="s">
        <v>46</v>
      </c>
      <c r="D182">
        <v>156176999</v>
      </c>
      <c r="E182">
        <v>79</v>
      </c>
      <c r="F182">
        <v>1</v>
      </c>
      <c r="G182" t="s">
        <v>226</v>
      </c>
    </row>
    <row r="183" spans="1:7" x14ac:dyDescent="0.2">
      <c r="A183" t="s">
        <v>285</v>
      </c>
      <c r="B183" t="s">
        <v>108</v>
      </c>
      <c r="C183" t="s">
        <v>54</v>
      </c>
      <c r="D183">
        <v>156176994</v>
      </c>
      <c r="E183">
        <v>76</v>
      </c>
      <c r="F183">
        <v>1</v>
      </c>
      <c r="G183" t="s">
        <v>227</v>
      </c>
    </row>
    <row r="184" spans="1:7" x14ac:dyDescent="0.2">
      <c r="A184" t="s">
        <v>286</v>
      </c>
    </row>
    <row r="185" spans="1:7" x14ac:dyDescent="0.2">
      <c r="A185" t="s">
        <v>287</v>
      </c>
    </row>
    <row r="186" spans="1:7" x14ac:dyDescent="0.2">
      <c r="A186" t="s">
        <v>287</v>
      </c>
      <c r="B186" t="s">
        <v>155</v>
      </c>
      <c r="C186" t="s">
        <v>54</v>
      </c>
      <c r="D186">
        <v>90181473</v>
      </c>
      <c r="E186">
        <v>66</v>
      </c>
      <c r="F186">
        <v>0.98507462686567204</v>
      </c>
      <c r="G186" t="s">
        <v>226</v>
      </c>
    </row>
    <row r="187" spans="1:7" x14ac:dyDescent="0.2">
      <c r="A187" t="s">
        <v>287</v>
      </c>
      <c r="B187" t="s">
        <v>155</v>
      </c>
      <c r="C187" t="s">
        <v>46</v>
      </c>
      <c r="D187">
        <v>90181478</v>
      </c>
      <c r="E187">
        <v>49</v>
      </c>
      <c r="F187">
        <v>0.96078431372549</v>
      </c>
      <c r="G187" t="s">
        <v>227</v>
      </c>
    </row>
    <row r="188" spans="1:7" x14ac:dyDescent="0.2">
      <c r="A188" t="s">
        <v>288</v>
      </c>
    </row>
    <row r="189" spans="1:7" x14ac:dyDescent="0.2">
      <c r="A189" t="s">
        <v>289</v>
      </c>
    </row>
    <row r="190" spans="1:7" x14ac:dyDescent="0.2">
      <c r="A190" t="s">
        <v>289</v>
      </c>
      <c r="B190" t="s">
        <v>108</v>
      </c>
      <c r="C190" t="s">
        <v>46</v>
      </c>
      <c r="D190">
        <v>156176999</v>
      </c>
      <c r="E190">
        <v>65</v>
      </c>
      <c r="F190">
        <v>1</v>
      </c>
      <c r="G190" t="s">
        <v>226</v>
      </c>
    </row>
    <row r="191" spans="1:7" x14ac:dyDescent="0.2">
      <c r="A191" t="s">
        <v>289</v>
      </c>
      <c r="B191" t="s">
        <v>108</v>
      </c>
      <c r="C191" t="s">
        <v>54</v>
      </c>
      <c r="D191">
        <v>156176994</v>
      </c>
      <c r="E191">
        <v>48</v>
      </c>
      <c r="F191">
        <v>1</v>
      </c>
      <c r="G191" t="s">
        <v>227</v>
      </c>
    </row>
    <row r="192" spans="1:7" x14ac:dyDescent="0.2">
      <c r="A192" t="s">
        <v>290</v>
      </c>
    </row>
    <row r="193" spans="1:7" x14ac:dyDescent="0.2">
      <c r="A193" t="s">
        <v>291</v>
      </c>
    </row>
    <row r="194" spans="1:7" x14ac:dyDescent="0.2">
      <c r="A194" t="s">
        <v>291</v>
      </c>
      <c r="B194" t="s">
        <v>108</v>
      </c>
      <c r="C194" t="s">
        <v>46</v>
      </c>
      <c r="D194">
        <v>156176999</v>
      </c>
      <c r="E194">
        <v>107</v>
      </c>
      <c r="F194">
        <v>1</v>
      </c>
      <c r="G194" t="s">
        <v>226</v>
      </c>
    </row>
    <row r="195" spans="1:7" x14ac:dyDescent="0.2">
      <c r="A195" t="s">
        <v>291</v>
      </c>
      <c r="B195" t="s">
        <v>108</v>
      </c>
      <c r="C195" t="s">
        <v>54</v>
      </c>
      <c r="D195">
        <v>156176994</v>
      </c>
      <c r="E195">
        <v>84</v>
      </c>
      <c r="F195">
        <v>1</v>
      </c>
      <c r="G195" t="s">
        <v>227</v>
      </c>
    </row>
    <row r="196" spans="1:7" x14ac:dyDescent="0.2">
      <c r="A196" t="s">
        <v>292</v>
      </c>
    </row>
    <row r="197" spans="1:7" x14ac:dyDescent="0.2">
      <c r="A197" t="s">
        <v>293</v>
      </c>
    </row>
    <row r="198" spans="1:7" x14ac:dyDescent="0.2">
      <c r="A198" t="s">
        <v>293</v>
      </c>
      <c r="B198" t="s">
        <v>108</v>
      </c>
      <c r="C198" t="s">
        <v>46</v>
      </c>
      <c r="D198">
        <v>156176999</v>
      </c>
      <c r="E198">
        <v>65</v>
      </c>
      <c r="F198">
        <v>0.98484848484848497</v>
      </c>
      <c r="G198" t="s">
        <v>226</v>
      </c>
    </row>
    <row r="199" spans="1:7" x14ac:dyDescent="0.2">
      <c r="A199" t="s">
        <v>293</v>
      </c>
      <c r="B199" t="s">
        <v>108</v>
      </c>
      <c r="C199" t="s">
        <v>54</v>
      </c>
      <c r="D199">
        <v>156176994</v>
      </c>
      <c r="E199">
        <v>52</v>
      </c>
      <c r="F199">
        <v>0.98113207547169801</v>
      </c>
      <c r="G199" t="s">
        <v>227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124"/>
  <sheetViews>
    <sheetView topLeftCell="T1" workbookViewId="0">
      <selection activeCell="AI1" sqref="AI1:AI1048576"/>
    </sheetView>
  </sheetViews>
  <sheetFormatPr baseColWidth="10" defaultRowHeight="16" x14ac:dyDescent="0.2"/>
  <sheetData>
    <row r="1" spans="1:53" s="1" customFormat="1" ht="89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</row>
    <row r="2" spans="1:53" x14ac:dyDescent="0.2">
      <c r="A2" t="s">
        <v>102</v>
      </c>
      <c r="B2" t="s">
        <v>54</v>
      </c>
      <c r="C2">
        <v>42565805</v>
      </c>
      <c r="AI2">
        <v>11142</v>
      </c>
      <c r="AT2" t="s">
        <v>103</v>
      </c>
      <c r="AU2" t="s">
        <v>104</v>
      </c>
      <c r="AV2" t="s">
        <v>54</v>
      </c>
      <c r="AW2">
        <v>42511486</v>
      </c>
      <c r="AX2">
        <v>42575785</v>
      </c>
      <c r="AY2" t="str">
        <f>HYPERLINK("http://genome.ucsc.edu/cgi-bin/hgTracks?clade=vertebrate&amp;org=Human&amp;db=hg19&amp;position=chr18:42535805-42595805")</f>
        <v>http://genome.ucsc.edu/cgi-bin/hgTracks?clade=vertebrate&amp;org=Human&amp;db=hg19&amp;position=chr18:42535805-42595805</v>
      </c>
      <c r="AZ2" t="s">
        <v>49</v>
      </c>
      <c r="BA2" t="s">
        <v>50</v>
      </c>
    </row>
    <row r="3" spans="1:53" x14ac:dyDescent="0.2">
      <c r="A3" t="s">
        <v>134</v>
      </c>
      <c r="B3" t="s">
        <v>54</v>
      </c>
      <c r="C3">
        <v>119566032</v>
      </c>
      <c r="AI3">
        <v>2335</v>
      </c>
      <c r="AT3" t="s">
        <v>137</v>
      </c>
      <c r="AU3" t="s">
        <v>138</v>
      </c>
      <c r="AV3" t="s">
        <v>54</v>
      </c>
      <c r="AW3">
        <v>119539660</v>
      </c>
      <c r="AX3">
        <v>119629119</v>
      </c>
      <c r="AY3" t="str">
        <f>HYPERLINK("http://genome.ucsc.edu/cgi-bin/hgTracks?clade=vertebrate&amp;org=Human&amp;db=hg19&amp;position=chr4:119536032-119596032")</f>
        <v>http://genome.ucsc.edu/cgi-bin/hgTracks?clade=vertebrate&amp;org=Human&amp;db=hg19&amp;position=chr4:119536032-119596032</v>
      </c>
      <c r="AZ3" t="s">
        <v>49</v>
      </c>
      <c r="BA3" t="s">
        <v>50</v>
      </c>
    </row>
    <row r="4" spans="1:53" x14ac:dyDescent="0.2">
      <c r="A4" t="s">
        <v>72</v>
      </c>
      <c r="B4" t="s">
        <v>46</v>
      </c>
      <c r="C4">
        <v>117832907</v>
      </c>
      <c r="AI4">
        <v>1</v>
      </c>
      <c r="AT4" t="s">
        <v>189</v>
      </c>
      <c r="AU4" t="s">
        <v>190</v>
      </c>
      <c r="AV4" t="s">
        <v>54</v>
      </c>
      <c r="AW4">
        <v>117843860</v>
      </c>
      <c r="AX4">
        <v>117878706</v>
      </c>
      <c r="AY4" t="str">
        <f>HYPERLINK("http://genome.ucsc.edu/cgi-bin/hgTracks?clade=vertebrate&amp;org=Human&amp;db=hg19&amp;position=chr12:117802907-117862907")</f>
        <v>http://genome.ucsc.edu/cgi-bin/hgTracks?clade=vertebrate&amp;org=Human&amp;db=hg19&amp;position=chr12:117802907-117862907</v>
      </c>
      <c r="AZ4" t="s">
        <v>55</v>
      </c>
      <c r="BA4">
        <v>10953</v>
      </c>
    </row>
    <row r="5" spans="1:53" x14ac:dyDescent="0.2">
      <c r="A5" t="s">
        <v>85</v>
      </c>
      <c r="B5" t="s">
        <v>46</v>
      </c>
      <c r="C5">
        <v>76224401</v>
      </c>
      <c r="AI5">
        <v>1</v>
      </c>
      <c r="AT5" t="s">
        <v>195</v>
      </c>
      <c r="AU5" t="s">
        <v>196</v>
      </c>
      <c r="AV5" t="s">
        <v>46</v>
      </c>
      <c r="AW5">
        <v>76170973</v>
      </c>
      <c r="AX5">
        <v>76229497</v>
      </c>
      <c r="AY5" t="str">
        <f>HYPERLINK("http://genome.ucsc.edu/cgi-bin/hgTracks?clade=vertebrate&amp;org=Human&amp;db=hg19&amp;position=chr15:76194401-76254401")</f>
        <v>http://genome.ucsc.edu/cgi-bin/hgTracks?clade=vertebrate&amp;org=Human&amp;db=hg19&amp;position=chr15:76194401-76254401</v>
      </c>
      <c r="AZ5" t="s">
        <v>49</v>
      </c>
      <c r="BA5" t="s">
        <v>50</v>
      </c>
    </row>
    <row r="6" spans="1:53" x14ac:dyDescent="0.2">
      <c r="A6" t="s">
        <v>125</v>
      </c>
      <c r="B6" t="s">
        <v>54</v>
      </c>
      <c r="C6">
        <v>69010664</v>
      </c>
      <c r="R6">
        <v>1</v>
      </c>
      <c r="AF6">
        <v>14603</v>
      </c>
      <c r="AI6">
        <v>1</v>
      </c>
      <c r="AT6" t="s">
        <v>128</v>
      </c>
      <c r="AU6" t="s">
        <v>129</v>
      </c>
      <c r="AV6" t="s">
        <v>54</v>
      </c>
      <c r="AW6">
        <v>69004971</v>
      </c>
      <c r="AX6">
        <v>69034623</v>
      </c>
      <c r="AY6" t="str">
        <f>HYPERLINK("http://genome.ucsc.edu/cgi-bin/hgTracks?clade=vertebrate&amp;org=Human&amp;db=hg19&amp;position=chr3:68980664-69040664")</f>
        <v>http://genome.ucsc.edu/cgi-bin/hgTracks?clade=vertebrate&amp;org=Human&amp;db=hg19&amp;position=chr3:68980664-69040664</v>
      </c>
      <c r="AZ6" t="s">
        <v>49</v>
      </c>
      <c r="BA6" t="s">
        <v>50</v>
      </c>
    </row>
    <row r="7" spans="1:53" x14ac:dyDescent="0.2">
      <c r="A7" t="s">
        <v>134</v>
      </c>
      <c r="B7" t="s">
        <v>46</v>
      </c>
      <c r="C7">
        <v>98770790</v>
      </c>
      <c r="AI7">
        <v>1</v>
      </c>
      <c r="AT7" t="s">
        <v>206</v>
      </c>
      <c r="AU7" t="s">
        <v>207</v>
      </c>
      <c r="AV7" t="s">
        <v>46</v>
      </c>
      <c r="AW7">
        <v>98754891</v>
      </c>
      <c r="AX7">
        <v>98817537</v>
      </c>
      <c r="AY7" t="str">
        <f>HYPERLINK("http://genome.ucsc.edu/cgi-bin/hgTracks?clade=vertebrate&amp;org=Human&amp;db=hg19&amp;position=chr4:98740790-98800790")</f>
        <v>http://genome.ucsc.edu/cgi-bin/hgTracks?clade=vertebrate&amp;org=Human&amp;db=hg19&amp;position=chr4:98740790-98800790</v>
      </c>
      <c r="AZ7" t="s">
        <v>49</v>
      </c>
      <c r="BA7" t="s">
        <v>50</v>
      </c>
    </row>
    <row r="8" spans="1:53" x14ac:dyDescent="0.2">
      <c r="A8" t="s">
        <v>108</v>
      </c>
      <c r="B8" t="s">
        <v>46</v>
      </c>
      <c r="C8">
        <v>165875728</v>
      </c>
      <c r="X8">
        <v>1</v>
      </c>
      <c r="AE8">
        <v>12823</v>
      </c>
      <c r="AT8" t="s">
        <v>123</v>
      </c>
      <c r="AU8" t="s">
        <v>124</v>
      </c>
      <c r="AV8" t="s">
        <v>46</v>
      </c>
      <c r="AW8">
        <v>165784151</v>
      </c>
      <c r="AX8">
        <v>165878437</v>
      </c>
      <c r="AY8" t="str">
        <f>HYPERLINK("http://genome.ucsc.edu/cgi-bin/hgTracks?clade=vertebrate&amp;org=Human&amp;db=hg19&amp;position=chr2:165845728-165905728")</f>
        <v>http://genome.ucsc.edu/cgi-bin/hgTracks?clade=vertebrate&amp;org=Human&amp;db=hg19&amp;position=chr2:165845728-165905728</v>
      </c>
      <c r="AZ8" t="s">
        <v>49</v>
      </c>
      <c r="BA8" t="s">
        <v>107</v>
      </c>
    </row>
    <row r="9" spans="1:53" x14ac:dyDescent="0.2">
      <c r="A9" t="s">
        <v>108</v>
      </c>
      <c r="B9" t="s">
        <v>46</v>
      </c>
      <c r="C9">
        <v>156176999</v>
      </c>
      <c r="D9" s="7">
        <v>52</v>
      </c>
      <c r="E9" s="7">
        <v>12</v>
      </c>
      <c r="F9" s="7">
        <v>12</v>
      </c>
      <c r="G9" s="7">
        <v>1</v>
      </c>
      <c r="H9" s="7">
        <v>3</v>
      </c>
      <c r="I9" s="7">
        <v>34</v>
      </c>
      <c r="J9" s="7">
        <v>20</v>
      </c>
      <c r="K9" s="7">
        <v>17</v>
      </c>
      <c r="L9" s="7"/>
      <c r="M9" s="7"/>
      <c r="N9" s="7"/>
      <c r="O9" s="7"/>
      <c r="P9" s="7">
        <v>1</v>
      </c>
      <c r="Q9" s="7"/>
      <c r="R9" s="7">
        <v>27</v>
      </c>
      <c r="S9" s="7">
        <v>29</v>
      </c>
      <c r="T9" s="7"/>
      <c r="U9" s="7">
        <v>2</v>
      </c>
      <c r="V9" s="7">
        <v>1</v>
      </c>
      <c r="W9" s="7">
        <v>1</v>
      </c>
      <c r="X9" s="7"/>
      <c r="Y9" s="7"/>
      <c r="Z9" s="7"/>
      <c r="AA9" s="7"/>
      <c r="AB9" s="7"/>
      <c r="AC9" s="7">
        <v>1</v>
      </c>
      <c r="AD9" s="7"/>
      <c r="AE9" s="7">
        <v>2</v>
      </c>
      <c r="AF9" s="7">
        <v>1</v>
      </c>
      <c r="AJ9">
        <v>21801</v>
      </c>
      <c r="AK9">
        <v>22443</v>
      </c>
      <c r="AL9">
        <v>22606</v>
      </c>
      <c r="AN9">
        <v>22663</v>
      </c>
      <c r="AP9">
        <v>19649</v>
      </c>
      <c r="AQ9">
        <v>24835</v>
      </c>
      <c r="AR9">
        <v>19598</v>
      </c>
      <c r="AT9" t="s">
        <v>121</v>
      </c>
      <c r="AU9" t="s">
        <v>122</v>
      </c>
      <c r="AV9" t="s">
        <v>46</v>
      </c>
      <c r="AW9">
        <v>156147240</v>
      </c>
      <c r="AX9">
        <v>156180238</v>
      </c>
      <c r="AY9" t="str">
        <f>HYPERLINK("http://genome.ucsc.edu/cgi-bin/hgTracks?clade=vertebrate&amp;org=Human&amp;db=hg19&amp;position=chr2:156146999-156206999")</f>
        <v>http://genome.ucsc.edu/cgi-bin/hgTracks?clade=vertebrate&amp;org=Human&amp;db=hg19&amp;position=chr2:156146999-156206999</v>
      </c>
      <c r="AZ9" t="s">
        <v>49</v>
      </c>
      <c r="BA9" t="s">
        <v>50</v>
      </c>
    </row>
    <row r="10" spans="1:53" x14ac:dyDescent="0.2">
      <c r="A10" t="s">
        <v>108</v>
      </c>
      <c r="B10" t="s">
        <v>54</v>
      </c>
      <c r="C10">
        <v>112383779</v>
      </c>
      <c r="O10">
        <v>11585</v>
      </c>
      <c r="V10">
        <v>1</v>
      </c>
      <c r="AT10" t="s">
        <v>117</v>
      </c>
      <c r="AU10" t="s">
        <v>118</v>
      </c>
      <c r="AV10" t="s">
        <v>54</v>
      </c>
      <c r="AW10">
        <v>112379210</v>
      </c>
      <c r="AX10">
        <v>112414237</v>
      </c>
      <c r="AY10" t="str">
        <f>HYPERLINK("http://genome.ucsc.edu/cgi-bin/hgTracks?clade=vertebrate&amp;org=Human&amp;db=hg19&amp;position=chr2:112353779-112413779")</f>
        <v>http://genome.ucsc.edu/cgi-bin/hgTracks?clade=vertebrate&amp;org=Human&amp;db=hg19&amp;position=chr2:112353779-112413779</v>
      </c>
      <c r="AZ10" t="s">
        <v>49</v>
      </c>
      <c r="BA10" t="s">
        <v>50</v>
      </c>
    </row>
    <row r="11" spans="1:53" x14ac:dyDescent="0.2">
      <c r="A11" t="s">
        <v>108</v>
      </c>
      <c r="B11" t="s">
        <v>54</v>
      </c>
      <c r="C11">
        <v>112383778</v>
      </c>
      <c r="O11">
        <v>22</v>
      </c>
      <c r="AT11" t="s">
        <v>117</v>
      </c>
      <c r="AU11" t="s">
        <v>118</v>
      </c>
      <c r="AV11" t="s">
        <v>54</v>
      </c>
      <c r="AW11">
        <v>112379210</v>
      </c>
      <c r="AX11">
        <v>112414237</v>
      </c>
      <c r="AY11" t="str">
        <f>HYPERLINK("http://genome.ucsc.edu/cgi-bin/hgTracks?clade=vertebrate&amp;org=Human&amp;db=hg19&amp;position=chr2:112353778-112413778")</f>
        <v>http://genome.ucsc.edu/cgi-bin/hgTracks?clade=vertebrate&amp;org=Human&amp;db=hg19&amp;position=chr2:112353778-112413778</v>
      </c>
      <c r="AZ11" t="s">
        <v>49</v>
      </c>
      <c r="BA11" t="s">
        <v>50</v>
      </c>
    </row>
    <row r="12" spans="1:53" x14ac:dyDescent="0.2">
      <c r="A12" t="s">
        <v>150</v>
      </c>
      <c r="B12" t="s">
        <v>54</v>
      </c>
      <c r="C12">
        <v>89096271</v>
      </c>
      <c r="E12">
        <v>4</v>
      </c>
      <c r="F12">
        <v>2</v>
      </c>
      <c r="G12">
        <v>1</v>
      </c>
      <c r="H12">
        <v>20865</v>
      </c>
      <c r="I12">
        <v>1</v>
      </c>
      <c r="J12">
        <v>26096</v>
      </c>
      <c r="L12">
        <v>16477</v>
      </c>
      <c r="M12">
        <v>22477</v>
      </c>
      <c r="N12">
        <v>21770</v>
      </c>
      <c r="O12">
        <v>1</v>
      </c>
      <c r="P12">
        <v>21728</v>
      </c>
      <c r="Q12">
        <v>24490</v>
      </c>
      <c r="R12">
        <v>16454</v>
      </c>
      <c r="S12">
        <v>5</v>
      </c>
      <c r="T12">
        <v>18089</v>
      </c>
      <c r="U12">
        <v>3</v>
      </c>
      <c r="V12">
        <v>13887</v>
      </c>
      <c r="W12">
        <v>23942</v>
      </c>
      <c r="X12">
        <v>3</v>
      </c>
      <c r="Y12">
        <v>15651</v>
      </c>
      <c r="Z12">
        <v>16248</v>
      </c>
      <c r="AA12">
        <v>20089</v>
      </c>
      <c r="AB12">
        <v>1</v>
      </c>
      <c r="AC12">
        <v>1</v>
      </c>
      <c r="AO12">
        <v>1</v>
      </c>
      <c r="AT12" t="s">
        <v>153</v>
      </c>
      <c r="AU12" t="s">
        <v>154</v>
      </c>
      <c r="AV12" t="s">
        <v>54</v>
      </c>
      <c r="AW12">
        <v>89096114</v>
      </c>
      <c r="AX12">
        <v>89110037</v>
      </c>
      <c r="AY12" t="str">
        <f>HYPERLINK("http://genome.ucsc.edu/cgi-bin/hgTracks?clade=vertebrate&amp;org=Human&amp;db=hg19&amp;position=chr6:89066271-89126271")</f>
        <v>http://genome.ucsc.edu/cgi-bin/hgTracks?clade=vertebrate&amp;org=Human&amp;db=hg19&amp;position=chr6:89066271-89126271</v>
      </c>
      <c r="AZ12" t="s">
        <v>49</v>
      </c>
      <c r="BA12" t="s">
        <v>50</v>
      </c>
    </row>
    <row r="13" spans="1:53" x14ac:dyDescent="0.2">
      <c r="A13" t="s">
        <v>75</v>
      </c>
      <c r="B13" t="s">
        <v>54</v>
      </c>
      <c r="C13">
        <v>56709599</v>
      </c>
      <c r="H13">
        <v>1</v>
      </c>
      <c r="O13">
        <v>1</v>
      </c>
      <c r="AA13">
        <v>1</v>
      </c>
      <c r="AC13">
        <v>28133</v>
      </c>
      <c r="AT13" t="s">
        <v>78</v>
      </c>
      <c r="AU13" t="s">
        <v>79</v>
      </c>
      <c r="AV13" t="s">
        <v>54</v>
      </c>
      <c r="AW13">
        <v>56703051</v>
      </c>
      <c r="AX13">
        <v>56742378</v>
      </c>
      <c r="AY13" t="str">
        <f>HYPERLINK("http://genome.ucsc.edu/cgi-bin/hgTracks?clade=vertebrate&amp;org=Human&amp;db=hg19&amp;position=chr13:56679599-56739599")</f>
        <v>http://genome.ucsc.edu/cgi-bin/hgTracks?clade=vertebrate&amp;org=Human&amp;db=hg19&amp;position=chr13:56679599-56739599</v>
      </c>
      <c r="AZ13" t="s">
        <v>49</v>
      </c>
      <c r="BA13" t="s">
        <v>50</v>
      </c>
    </row>
    <row r="14" spans="1:53" x14ac:dyDescent="0.2">
      <c r="A14" t="s">
        <v>90</v>
      </c>
      <c r="B14" t="s">
        <v>54</v>
      </c>
      <c r="C14">
        <v>45180572</v>
      </c>
      <c r="O14">
        <v>1</v>
      </c>
      <c r="AT14" t="s">
        <v>172</v>
      </c>
      <c r="AU14" t="s">
        <v>173</v>
      </c>
      <c r="AV14" t="s">
        <v>54</v>
      </c>
      <c r="AW14">
        <v>45158828</v>
      </c>
      <c r="AX14">
        <v>45188538</v>
      </c>
      <c r="AY14" t="str">
        <f>HYPERLINK("http://genome.ucsc.edu/cgi-bin/hgTracks?clade=vertebrate&amp;org=Human&amp;db=hg19&amp;position=chr16:45150572-45210572")</f>
        <v>http://genome.ucsc.edu/cgi-bin/hgTracks?clade=vertebrate&amp;org=Human&amp;db=hg19&amp;position=chr16:45150572-45210572</v>
      </c>
      <c r="AZ14" t="s">
        <v>49</v>
      </c>
      <c r="BA14" t="s">
        <v>50</v>
      </c>
    </row>
    <row r="15" spans="1:53" x14ac:dyDescent="0.2">
      <c r="A15" t="s">
        <v>155</v>
      </c>
      <c r="B15" t="s">
        <v>46</v>
      </c>
      <c r="C15">
        <v>84310942</v>
      </c>
      <c r="E15">
        <v>1231</v>
      </c>
      <c r="AT15" t="s">
        <v>158</v>
      </c>
      <c r="AU15" t="s">
        <v>159</v>
      </c>
      <c r="AV15" t="s">
        <v>46</v>
      </c>
      <c r="AW15">
        <v>84246274</v>
      </c>
      <c r="AX15">
        <v>84410038</v>
      </c>
      <c r="AY15" t="str">
        <f>HYPERLINK("http://genome.ucsc.edu/cgi-bin/hgTracks?clade=vertebrate&amp;org=Human&amp;db=hg19&amp;position=chr7:84280942-84340942")</f>
        <v>http://genome.ucsc.edu/cgi-bin/hgTracks?clade=vertebrate&amp;org=Human&amp;db=hg19&amp;position=chr7:84280942-84340942</v>
      </c>
      <c r="AZ15" t="s">
        <v>49</v>
      </c>
      <c r="BA15" t="s">
        <v>107</v>
      </c>
    </row>
    <row r="16" spans="1:53" x14ac:dyDescent="0.2">
      <c r="A16" t="s">
        <v>82</v>
      </c>
      <c r="B16" t="s">
        <v>54</v>
      </c>
      <c r="C16">
        <v>79350280</v>
      </c>
      <c r="E16">
        <v>1120</v>
      </c>
      <c r="AT16" t="s">
        <v>83</v>
      </c>
      <c r="AU16" t="s">
        <v>84</v>
      </c>
      <c r="AV16" t="s">
        <v>46</v>
      </c>
      <c r="AW16">
        <v>79334506</v>
      </c>
      <c r="AX16">
        <v>79390668</v>
      </c>
      <c r="AY16" t="str">
        <f>HYPERLINK("http://genome.ucsc.edu/cgi-bin/hgTracks?clade=vertebrate&amp;org=Human&amp;db=hg19&amp;position=chr14:79320280-79380280")</f>
        <v>http://genome.ucsc.edu/cgi-bin/hgTracks?clade=vertebrate&amp;org=Human&amp;db=hg19&amp;position=chr14:79320280-79380280</v>
      </c>
      <c r="AZ16" t="s">
        <v>49</v>
      </c>
      <c r="BA16" t="s">
        <v>50</v>
      </c>
    </row>
    <row r="17" spans="1:53" x14ac:dyDescent="0.2">
      <c r="A17" t="s">
        <v>75</v>
      </c>
      <c r="B17" t="s">
        <v>46</v>
      </c>
      <c r="C17">
        <v>114874312</v>
      </c>
      <c r="E17">
        <v>1116</v>
      </c>
      <c r="AT17" t="s">
        <v>80</v>
      </c>
      <c r="AU17" t="s">
        <v>81</v>
      </c>
      <c r="AV17" t="s">
        <v>46</v>
      </c>
      <c r="AW17">
        <v>114835911</v>
      </c>
      <c r="AX17">
        <v>114932041</v>
      </c>
      <c r="AY17" t="str">
        <f>HYPERLINK("http://genome.ucsc.edu/cgi-bin/hgTracks?clade=vertebrate&amp;org=Human&amp;db=hg19&amp;position=chr13:114844312-114904312")</f>
        <v>http://genome.ucsc.edu/cgi-bin/hgTracks?clade=vertebrate&amp;org=Human&amp;db=hg19&amp;position=chr13:114844312-114904312</v>
      </c>
      <c r="AZ17" t="s">
        <v>49</v>
      </c>
      <c r="BA17" t="s">
        <v>50</v>
      </c>
    </row>
    <row r="18" spans="1:53" x14ac:dyDescent="0.2">
      <c r="A18" t="s">
        <v>85</v>
      </c>
      <c r="B18" t="s">
        <v>46</v>
      </c>
      <c r="C18">
        <v>53119979</v>
      </c>
      <c r="E18">
        <v>1068</v>
      </c>
      <c r="AT18" t="s">
        <v>86</v>
      </c>
      <c r="AU18" t="s">
        <v>87</v>
      </c>
      <c r="AV18" t="s">
        <v>46</v>
      </c>
      <c r="AW18">
        <v>53068260</v>
      </c>
      <c r="AX18">
        <v>53346183</v>
      </c>
      <c r="AY18" t="str">
        <f>HYPERLINK("http://genome.ucsc.edu/cgi-bin/hgTracks?clade=vertebrate&amp;org=Human&amp;db=hg19&amp;position=chr15:53089979-53149979")</f>
        <v>http://genome.ucsc.edu/cgi-bin/hgTracks?clade=vertebrate&amp;org=Human&amp;db=hg19&amp;position=chr15:53089979-53149979</v>
      </c>
      <c r="AZ18" t="s">
        <v>49</v>
      </c>
      <c r="BA18" t="s">
        <v>50</v>
      </c>
    </row>
    <row r="19" spans="1:53" x14ac:dyDescent="0.2">
      <c r="A19" t="s">
        <v>125</v>
      </c>
      <c r="B19" t="s">
        <v>54</v>
      </c>
      <c r="C19">
        <v>93007918</v>
      </c>
      <c r="E19">
        <v>979</v>
      </c>
      <c r="AT19" t="s">
        <v>130</v>
      </c>
      <c r="AU19" t="s">
        <v>131</v>
      </c>
      <c r="AV19" t="s">
        <v>46</v>
      </c>
      <c r="AW19">
        <v>93014204</v>
      </c>
      <c r="AX19">
        <v>93015686</v>
      </c>
      <c r="AY19" t="str">
        <f>HYPERLINK("http://genome.ucsc.edu/cgi-bin/hgTracks?clade=vertebrate&amp;org=Human&amp;db=hg19&amp;position=chr3:92977918-93037918")</f>
        <v>http://genome.ucsc.edu/cgi-bin/hgTracks?clade=vertebrate&amp;org=Human&amp;db=hg19&amp;position=chr3:92977918-93037918</v>
      </c>
      <c r="AZ19" t="s">
        <v>55</v>
      </c>
      <c r="BA19">
        <v>6286</v>
      </c>
    </row>
    <row r="20" spans="1:53" x14ac:dyDescent="0.2">
      <c r="A20" t="s">
        <v>134</v>
      </c>
      <c r="B20" t="s">
        <v>46</v>
      </c>
      <c r="C20">
        <v>126391965</v>
      </c>
      <c r="E20">
        <v>950</v>
      </c>
      <c r="AT20" t="s">
        <v>139</v>
      </c>
      <c r="AU20" t="s">
        <v>140</v>
      </c>
      <c r="AV20" t="s">
        <v>46</v>
      </c>
      <c r="AW20">
        <v>126340677</v>
      </c>
      <c r="AX20">
        <v>126429542</v>
      </c>
      <c r="AY20" t="str">
        <f>HYPERLINK("http://genome.ucsc.edu/cgi-bin/hgTracks?clade=vertebrate&amp;org=Human&amp;db=hg19&amp;position=chr4:126361965-126421965")</f>
        <v>http://genome.ucsc.edu/cgi-bin/hgTracks?clade=vertebrate&amp;org=Human&amp;db=hg19&amp;position=chr4:126361965-126421965</v>
      </c>
      <c r="AZ20" t="s">
        <v>49</v>
      </c>
      <c r="BA20" t="s">
        <v>50</v>
      </c>
    </row>
    <row r="21" spans="1:53" x14ac:dyDescent="0.2">
      <c r="A21" t="s">
        <v>125</v>
      </c>
      <c r="B21" t="s">
        <v>54</v>
      </c>
      <c r="C21">
        <v>99792736</v>
      </c>
      <c r="E21">
        <v>911</v>
      </c>
      <c r="AT21" t="s">
        <v>132</v>
      </c>
      <c r="AU21" t="s">
        <v>133</v>
      </c>
      <c r="AV21" t="s">
        <v>54</v>
      </c>
      <c r="AW21">
        <v>99885416</v>
      </c>
      <c r="AX21">
        <v>100143322</v>
      </c>
      <c r="AY21" t="str">
        <f>HYPERLINK("http://genome.ucsc.edu/cgi-bin/hgTracks?clade=vertebrate&amp;org=Human&amp;db=hg19&amp;position=chr3:99762736-99822736")</f>
        <v>http://genome.ucsc.edu/cgi-bin/hgTracks?clade=vertebrate&amp;org=Human&amp;db=hg19&amp;position=chr3:99762736-99822736</v>
      </c>
      <c r="AZ21" t="s">
        <v>55</v>
      </c>
      <c r="BA21">
        <v>92680</v>
      </c>
    </row>
    <row r="22" spans="1:53" x14ac:dyDescent="0.2">
      <c r="A22" t="s">
        <v>164</v>
      </c>
      <c r="B22" t="s">
        <v>54</v>
      </c>
      <c r="C22">
        <v>7212436</v>
      </c>
      <c r="E22">
        <v>810</v>
      </c>
      <c r="AT22" t="s">
        <v>165</v>
      </c>
      <c r="AU22" t="s">
        <v>166</v>
      </c>
      <c r="AV22" t="s">
        <v>46</v>
      </c>
      <c r="AW22">
        <v>8617438</v>
      </c>
      <c r="AX22">
        <v>8660773</v>
      </c>
      <c r="AY22" t="str">
        <f>HYPERLINK("http://genome.ucsc.edu/cgi-bin/hgTracks?clade=vertebrate&amp;org=Human&amp;db=hg19&amp;position=chr8:7182436-7242436")</f>
        <v>http://genome.ucsc.edu/cgi-bin/hgTracks?clade=vertebrate&amp;org=Human&amp;db=hg19&amp;position=chr8:7182436-7242436</v>
      </c>
      <c r="AZ22" t="s">
        <v>55</v>
      </c>
      <c r="BA22">
        <v>1405002</v>
      </c>
    </row>
    <row r="23" spans="1:53" x14ac:dyDescent="0.2">
      <c r="A23" t="s">
        <v>60</v>
      </c>
      <c r="B23" t="s">
        <v>54</v>
      </c>
      <c r="C23">
        <v>125300473</v>
      </c>
      <c r="E23" s="7">
        <v>516</v>
      </c>
      <c r="AT23" t="s">
        <v>65</v>
      </c>
      <c r="AU23" t="s">
        <v>66</v>
      </c>
      <c r="AV23" t="s">
        <v>46</v>
      </c>
      <c r="AW23">
        <v>125227484</v>
      </c>
      <c r="AX23">
        <v>125328535</v>
      </c>
      <c r="AY23" t="str">
        <f>HYPERLINK("http://genome.ucsc.edu/cgi-bin/hgTracks?clade=vertebrate&amp;org=Human&amp;db=hg19&amp;position=chr10:125270473-125330473")</f>
        <v>http://genome.ucsc.edu/cgi-bin/hgTracks?clade=vertebrate&amp;org=Human&amp;db=hg19&amp;position=chr10:125270473-125330473</v>
      </c>
      <c r="AZ23" t="s">
        <v>49</v>
      </c>
      <c r="BA23" t="s">
        <v>50</v>
      </c>
    </row>
    <row r="24" spans="1:53" x14ac:dyDescent="0.2">
      <c r="A24" t="s">
        <v>108</v>
      </c>
      <c r="B24" t="s">
        <v>46</v>
      </c>
      <c r="C24">
        <v>83826027</v>
      </c>
      <c r="E24">
        <v>494</v>
      </c>
      <c r="AT24" t="s">
        <v>111</v>
      </c>
      <c r="AU24" t="s">
        <v>112</v>
      </c>
      <c r="AV24" t="s">
        <v>54</v>
      </c>
      <c r="AW24">
        <v>83812727</v>
      </c>
      <c r="AX24">
        <v>83881358</v>
      </c>
      <c r="AY24" t="str">
        <f>HYPERLINK("http://genome.ucsc.edu/cgi-bin/hgTracks?clade=vertebrate&amp;org=Human&amp;db=hg19&amp;position=chr2:83796027-83856027")</f>
        <v>http://genome.ucsc.edu/cgi-bin/hgTracks?clade=vertebrate&amp;org=Human&amp;db=hg19&amp;position=chr2:83796027-83856027</v>
      </c>
      <c r="AZ24" t="s">
        <v>49</v>
      </c>
      <c r="BA24" t="s">
        <v>50</v>
      </c>
    </row>
    <row r="25" spans="1:53" x14ac:dyDescent="0.2">
      <c r="A25" t="s">
        <v>108</v>
      </c>
      <c r="B25" t="s">
        <v>46</v>
      </c>
      <c r="C25">
        <v>83826029</v>
      </c>
      <c r="E25">
        <v>64</v>
      </c>
      <c r="AT25" t="s">
        <v>111</v>
      </c>
      <c r="AU25" t="s">
        <v>112</v>
      </c>
      <c r="AV25" t="s">
        <v>54</v>
      </c>
      <c r="AW25">
        <v>83812727</v>
      </c>
      <c r="AX25">
        <v>83881358</v>
      </c>
      <c r="AY25" t="str">
        <f>HYPERLINK("http://genome.ucsc.edu/cgi-bin/hgTracks?clade=vertebrate&amp;org=Human&amp;db=hg19&amp;position=chr2:83796029-83856029")</f>
        <v>http://genome.ucsc.edu/cgi-bin/hgTracks?clade=vertebrate&amp;org=Human&amp;db=hg19&amp;position=chr2:83796029-83856029</v>
      </c>
      <c r="AZ25" t="s">
        <v>49</v>
      </c>
      <c r="BA25" t="s">
        <v>50</v>
      </c>
    </row>
    <row r="26" spans="1:53" x14ac:dyDescent="0.2">
      <c r="A26" t="s">
        <v>108</v>
      </c>
      <c r="B26" t="s">
        <v>46</v>
      </c>
      <c r="C26">
        <v>83826031</v>
      </c>
      <c r="E26">
        <v>26</v>
      </c>
      <c r="AT26" t="s">
        <v>111</v>
      </c>
      <c r="AU26" t="s">
        <v>112</v>
      </c>
      <c r="AV26" t="s">
        <v>54</v>
      </c>
      <c r="AW26">
        <v>83812727</v>
      </c>
      <c r="AX26">
        <v>83881358</v>
      </c>
      <c r="AY26" t="str">
        <f>HYPERLINK("http://genome.ucsc.edu/cgi-bin/hgTracks?clade=vertebrate&amp;org=Human&amp;db=hg19&amp;position=chr2:83796031-83856031")</f>
        <v>http://genome.ucsc.edu/cgi-bin/hgTracks?clade=vertebrate&amp;org=Human&amp;db=hg19&amp;position=chr2:83796031-83856031</v>
      </c>
      <c r="AZ26" t="s">
        <v>49</v>
      </c>
      <c r="BA26" t="s">
        <v>50</v>
      </c>
    </row>
    <row r="27" spans="1:53" x14ac:dyDescent="0.2">
      <c r="A27" t="s">
        <v>108</v>
      </c>
      <c r="B27" t="s">
        <v>46</v>
      </c>
      <c r="C27">
        <v>83826033</v>
      </c>
      <c r="E27">
        <v>14</v>
      </c>
      <c r="AT27" t="s">
        <v>111</v>
      </c>
      <c r="AU27" t="s">
        <v>112</v>
      </c>
      <c r="AV27" t="s">
        <v>54</v>
      </c>
      <c r="AW27">
        <v>83812727</v>
      </c>
      <c r="AX27">
        <v>83881358</v>
      </c>
      <c r="AY27" t="str">
        <f>HYPERLINK("http://genome.ucsc.edu/cgi-bin/hgTracks?clade=vertebrate&amp;org=Human&amp;db=hg19&amp;position=chr2:83796033-83856033")</f>
        <v>http://genome.ucsc.edu/cgi-bin/hgTracks?clade=vertebrate&amp;org=Human&amp;db=hg19&amp;position=chr2:83796033-83856033</v>
      </c>
      <c r="AZ27" t="s">
        <v>49</v>
      </c>
      <c r="BA27" t="s">
        <v>50</v>
      </c>
    </row>
    <row r="28" spans="1:53" x14ac:dyDescent="0.2">
      <c r="A28" t="s">
        <v>108</v>
      </c>
      <c r="B28" t="s">
        <v>54</v>
      </c>
      <c r="C28">
        <v>98662721</v>
      </c>
      <c r="E28">
        <v>12</v>
      </c>
      <c r="AT28" t="s">
        <v>113</v>
      </c>
      <c r="AU28" t="s">
        <v>203</v>
      </c>
      <c r="AV28" t="s">
        <v>54</v>
      </c>
      <c r="AW28">
        <v>97467656</v>
      </c>
      <c r="AX28">
        <v>97631664</v>
      </c>
      <c r="AY28" t="str">
        <f>HYPERLINK("http://genome.ucsc.edu/cgi-bin/hgTracks?clade=vertebrate&amp;org=Human&amp;db=hg19&amp;position=chr2:98632721-98692721")</f>
        <v>http://genome.ucsc.edu/cgi-bin/hgTracks?clade=vertebrate&amp;org=Human&amp;db=hg19&amp;position=chr2:98632721-98692721</v>
      </c>
      <c r="AZ28" t="s">
        <v>55</v>
      </c>
      <c r="BA28">
        <v>1031057</v>
      </c>
    </row>
    <row r="29" spans="1:53" x14ac:dyDescent="0.2">
      <c r="A29" t="s">
        <v>108</v>
      </c>
      <c r="B29" t="s">
        <v>46</v>
      </c>
      <c r="C29">
        <v>83826025</v>
      </c>
      <c r="E29">
        <v>8</v>
      </c>
      <c r="AT29" t="s">
        <v>111</v>
      </c>
      <c r="AU29" t="s">
        <v>112</v>
      </c>
      <c r="AV29" t="s">
        <v>54</v>
      </c>
      <c r="AW29">
        <v>83812727</v>
      </c>
      <c r="AX29">
        <v>83881358</v>
      </c>
      <c r="AY29" t="str">
        <f>HYPERLINK("http://genome.ucsc.edu/cgi-bin/hgTracks?clade=vertebrate&amp;org=Human&amp;db=hg19&amp;position=chr2:83796025-83856025")</f>
        <v>http://genome.ucsc.edu/cgi-bin/hgTracks?clade=vertebrate&amp;org=Human&amp;db=hg19&amp;position=chr2:83796025-83856025</v>
      </c>
      <c r="AZ29" t="s">
        <v>49</v>
      </c>
      <c r="BA29" t="s">
        <v>50</v>
      </c>
    </row>
    <row r="30" spans="1:53" x14ac:dyDescent="0.2">
      <c r="A30" t="s">
        <v>125</v>
      </c>
      <c r="B30" t="s">
        <v>54</v>
      </c>
      <c r="C30">
        <v>99792735</v>
      </c>
      <c r="E30">
        <v>7</v>
      </c>
      <c r="AT30" t="s">
        <v>132</v>
      </c>
      <c r="AU30" t="s">
        <v>133</v>
      </c>
      <c r="AV30" t="s">
        <v>54</v>
      </c>
      <c r="AW30">
        <v>99885416</v>
      </c>
      <c r="AX30">
        <v>100143322</v>
      </c>
      <c r="AY30" t="str">
        <f>HYPERLINK("http://genome.ucsc.edu/cgi-bin/hgTracks?clade=vertebrate&amp;org=Human&amp;db=hg19&amp;position=chr3:99762735-99822735")</f>
        <v>http://genome.ucsc.edu/cgi-bin/hgTracks?clade=vertebrate&amp;org=Human&amp;db=hg19&amp;position=chr3:99762735-99822735</v>
      </c>
      <c r="AZ30" t="s">
        <v>55</v>
      </c>
      <c r="BA30">
        <v>92681</v>
      </c>
    </row>
    <row r="31" spans="1:53" x14ac:dyDescent="0.2">
      <c r="A31" t="s">
        <v>134</v>
      </c>
      <c r="B31" t="s">
        <v>46</v>
      </c>
      <c r="C31">
        <v>126391966</v>
      </c>
      <c r="E31">
        <v>4</v>
      </c>
      <c r="AT31" t="s">
        <v>139</v>
      </c>
      <c r="AU31" t="s">
        <v>140</v>
      </c>
      <c r="AV31" t="s">
        <v>46</v>
      </c>
      <c r="AW31">
        <v>126340677</v>
      </c>
      <c r="AX31">
        <v>126429542</v>
      </c>
      <c r="AY31" t="str">
        <f>HYPERLINK("http://genome.ucsc.edu/cgi-bin/hgTracks?clade=vertebrate&amp;org=Human&amp;db=hg19&amp;position=chr4:126361966-126421966")</f>
        <v>http://genome.ucsc.edu/cgi-bin/hgTracks?clade=vertebrate&amp;org=Human&amp;db=hg19&amp;position=chr4:126361966-126421966</v>
      </c>
      <c r="AZ31" t="s">
        <v>49</v>
      </c>
      <c r="BA31" t="s">
        <v>50</v>
      </c>
    </row>
    <row r="32" spans="1:53" x14ac:dyDescent="0.2">
      <c r="A32" t="s">
        <v>108</v>
      </c>
      <c r="B32" t="s">
        <v>46</v>
      </c>
      <c r="C32">
        <v>83826019</v>
      </c>
      <c r="E32">
        <v>3</v>
      </c>
      <c r="AT32" t="s">
        <v>111</v>
      </c>
      <c r="AU32" t="s">
        <v>112</v>
      </c>
      <c r="AV32" t="s">
        <v>54</v>
      </c>
      <c r="AW32">
        <v>83812727</v>
      </c>
      <c r="AX32">
        <v>83881358</v>
      </c>
      <c r="AY32" t="str">
        <f>HYPERLINK("http://genome.ucsc.edu/cgi-bin/hgTracks?clade=vertebrate&amp;org=Human&amp;db=hg19&amp;position=chr2:83796019-83856019")</f>
        <v>http://genome.ucsc.edu/cgi-bin/hgTracks?clade=vertebrate&amp;org=Human&amp;db=hg19&amp;position=chr2:83796019-83856019</v>
      </c>
      <c r="AZ32" t="s">
        <v>49</v>
      </c>
      <c r="BA32" t="s">
        <v>50</v>
      </c>
    </row>
    <row r="33" spans="1:53" x14ac:dyDescent="0.2">
      <c r="A33" t="s">
        <v>108</v>
      </c>
      <c r="B33" t="s">
        <v>46</v>
      </c>
      <c r="C33">
        <v>98662453</v>
      </c>
      <c r="E33">
        <v>2</v>
      </c>
      <c r="AT33" t="s">
        <v>113</v>
      </c>
      <c r="AU33" t="s">
        <v>203</v>
      </c>
      <c r="AV33" t="s">
        <v>54</v>
      </c>
      <c r="AW33">
        <v>97467656</v>
      </c>
      <c r="AX33">
        <v>97631664</v>
      </c>
      <c r="AY33" t="str">
        <f>HYPERLINK("http://genome.ucsc.edu/cgi-bin/hgTracks?clade=vertebrate&amp;org=Human&amp;db=hg19&amp;position=chr2:98632453-98692453")</f>
        <v>http://genome.ucsc.edu/cgi-bin/hgTracks?clade=vertebrate&amp;org=Human&amp;db=hg19&amp;position=chr2:98632453-98692453</v>
      </c>
      <c r="AZ33" t="s">
        <v>55</v>
      </c>
      <c r="BA33">
        <v>1030789</v>
      </c>
    </row>
    <row r="34" spans="1:53" x14ac:dyDescent="0.2">
      <c r="A34" t="s">
        <v>155</v>
      </c>
      <c r="B34" t="s">
        <v>46</v>
      </c>
      <c r="C34">
        <v>84310941</v>
      </c>
      <c r="E34">
        <v>2</v>
      </c>
      <c r="AT34" t="s">
        <v>158</v>
      </c>
      <c r="AU34" t="s">
        <v>159</v>
      </c>
      <c r="AV34" t="s">
        <v>46</v>
      </c>
      <c r="AW34">
        <v>84246274</v>
      </c>
      <c r="AX34">
        <v>84410038</v>
      </c>
      <c r="AY34" t="str">
        <f>HYPERLINK("http://genome.ucsc.edu/cgi-bin/hgTracks?clade=vertebrate&amp;org=Human&amp;db=hg19&amp;position=chr7:84280941-84340941")</f>
        <v>http://genome.ucsc.edu/cgi-bin/hgTracks?clade=vertebrate&amp;org=Human&amp;db=hg19&amp;position=chr7:84280941-84340941</v>
      </c>
      <c r="AZ34" t="s">
        <v>49</v>
      </c>
      <c r="BA34" t="s">
        <v>107</v>
      </c>
    </row>
    <row r="35" spans="1:53" x14ac:dyDescent="0.2">
      <c r="A35" t="s">
        <v>108</v>
      </c>
      <c r="B35" t="s">
        <v>54</v>
      </c>
      <c r="C35">
        <v>98667152</v>
      </c>
      <c r="E35">
        <v>1</v>
      </c>
      <c r="AT35" t="s">
        <v>113</v>
      </c>
      <c r="AU35" t="s">
        <v>203</v>
      </c>
      <c r="AV35" t="s">
        <v>54</v>
      </c>
      <c r="AW35">
        <v>97467656</v>
      </c>
      <c r="AX35">
        <v>97631664</v>
      </c>
      <c r="AY35" t="str">
        <f>HYPERLINK("http://genome.ucsc.edu/cgi-bin/hgTracks?clade=vertebrate&amp;org=Human&amp;db=hg19&amp;position=chr2:98637152-98697152")</f>
        <v>http://genome.ucsc.edu/cgi-bin/hgTracks?clade=vertebrate&amp;org=Human&amp;db=hg19&amp;position=chr2:98637152-98697152</v>
      </c>
      <c r="AZ35" t="s">
        <v>55</v>
      </c>
      <c r="BA35">
        <v>1035488</v>
      </c>
    </row>
    <row r="36" spans="1:53" x14ac:dyDescent="0.2">
      <c r="A36" t="s">
        <v>95</v>
      </c>
      <c r="B36" t="s">
        <v>46</v>
      </c>
      <c r="C36">
        <v>35713809</v>
      </c>
      <c r="D36">
        <v>1412</v>
      </c>
      <c r="AT36" t="s">
        <v>98</v>
      </c>
      <c r="AU36" t="s">
        <v>99</v>
      </c>
      <c r="AV36" t="s">
        <v>46</v>
      </c>
      <c r="AW36">
        <v>35681566</v>
      </c>
      <c r="AX36">
        <v>35704139</v>
      </c>
      <c r="AY36" t="str">
        <f>HYPERLINK("http://genome.ucsc.edu/cgi-bin/hgTracks?clade=vertebrate&amp;org=Human&amp;db=hg19&amp;position=chr17:35683809-35743809")</f>
        <v>http://genome.ucsc.edu/cgi-bin/hgTracks?clade=vertebrate&amp;org=Human&amp;db=hg19&amp;position=chr17:35683809-35743809</v>
      </c>
      <c r="AZ36" t="s">
        <v>55</v>
      </c>
      <c r="BA36">
        <v>9670</v>
      </c>
    </row>
    <row r="37" spans="1:53" x14ac:dyDescent="0.2">
      <c r="A37" t="s">
        <v>108</v>
      </c>
      <c r="B37" t="s">
        <v>46</v>
      </c>
      <c r="C37">
        <v>95558327</v>
      </c>
      <c r="D37">
        <v>1234</v>
      </c>
      <c r="AT37" t="s">
        <v>113</v>
      </c>
      <c r="AU37" t="s">
        <v>114</v>
      </c>
      <c r="AV37" t="s">
        <v>54</v>
      </c>
      <c r="AW37">
        <v>96318168</v>
      </c>
      <c r="AX37">
        <v>97631664</v>
      </c>
      <c r="AY37" t="str">
        <f>HYPERLINK("http://genome.ucsc.edu/cgi-bin/hgTracks?clade=vertebrate&amp;org=Human&amp;db=hg19&amp;position=chr2:95528327-95588327")</f>
        <v>http://genome.ucsc.edu/cgi-bin/hgTracks?clade=vertebrate&amp;org=Human&amp;db=hg19&amp;position=chr2:95528327-95588327</v>
      </c>
      <c r="AZ37" t="s">
        <v>55</v>
      </c>
      <c r="BA37">
        <v>759841</v>
      </c>
    </row>
    <row r="38" spans="1:53" x14ac:dyDescent="0.2">
      <c r="A38" t="s">
        <v>102</v>
      </c>
      <c r="B38" t="s">
        <v>46</v>
      </c>
      <c r="C38">
        <v>49697710</v>
      </c>
      <c r="D38">
        <v>1149</v>
      </c>
      <c r="K38">
        <v>1</v>
      </c>
      <c r="AT38" t="s">
        <v>105</v>
      </c>
      <c r="AU38" t="s">
        <v>106</v>
      </c>
      <c r="AV38" t="s">
        <v>46</v>
      </c>
      <c r="AW38">
        <v>49696144</v>
      </c>
      <c r="AX38">
        <v>49755601</v>
      </c>
      <c r="AY38" t="str">
        <f>HYPERLINK("http://genome.ucsc.edu/cgi-bin/hgTracks?clade=vertebrate&amp;org=Human&amp;db=hg19&amp;position=chr18:49667710-49727710")</f>
        <v>http://genome.ucsc.edu/cgi-bin/hgTracks?clade=vertebrate&amp;org=Human&amp;db=hg19&amp;position=chr18:49667710-49727710</v>
      </c>
      <c r="AZ38" t="s">
        <v>49</v>
      </c>
      <c r="BA38" t="s">
        <v>107</v>
      </c>
    </row>
    <row r="39" spans="1:53" x14ac:dyDescent="0.2">
      <c r="A39" t="s">
        <v>141</v>
      </c>
      <c r="B39" t="s">
        <v>54</v>
      </c>
      <c r="C39">
        <v>105891037</v>
      </c>
      <c r="D39">
        <v>1090</v>
      </c>
      <c r="AT39" t="s">
        <v>146</v>
      </c>
      <c r="AU39" t="s">
        <v>147</v>
      </c>
      <c r="AV39" t="s">
        <v>54</v>
      </c>
      <c r="AW39">
        <v>105876567</v>
      </c>
      <c r="AX39">
        <v>105915820</v>
      </c>
      <c r="AY39" t="str">
        <f>HYPERLINK("http://genome.ucsc.edu/cgi-bin/hgTracks?clade=vertebrate&amp;org=Human&amp;db=hg19&amp;position=chr5:105861037-105921037")</f>
        <v>http://genome.ucsc.edu/cgi-bin/hgTracks?clade=vertebrate&amp;org=Human&amp;db=hg19&amp;position=chr5:105861037-105921037</v>
      </c>
      <c r="AZ39" t="s">
        <v>49</v>
      </c>
      <c r="BA39" t="s">
        <v>50</v>
      </c>
    </row>
    <row r="40" spans="1:53" x14ac:dyDescent="0.2">
      <c r="A40" t="s">
        <v>95</v>
      </c>
      <c r="B40" t="s">
        <v>54</v>
      </c>
      <c r="C40">
        <v>10286431</v>
      </c>
      <c r="D40">
        <v>1035</v>
      </c>
      <c r="AT40" t="s">
        <v>96</v>
      </c>
      <c r="AU40" t="s">
        <v>97</v>
      </c>
      <c r="AV40" t="s">
        <v>46</v>
      </c>
      <c r="AW40">
        <v>10210179</v>
      </c>
      <c r="AX40">
        <v>10319361</v>
      </c>
      <c r="AY40" t="str">
        <f>HYPERLINK("http://genome.ucsc.edu/cgi-bin/hgTracks?clade=vertebrate&amp;org=Human&amp;db=hg19&amp;position=chr17:10256431-10316431")</f>
        <v>http://genome.ucsc.edu/cgi-bin/hgTracks?clade=vertebrate&amp;org=Human&amp;db=hg19&amp;position=chr17:10256431-10316431</v>
      </c>
      <c r="AZ40" t="s">
        <v>49</v>
      </c>
      <c r="BA40" t="s">
        <v>50</v>
      </c>
    </row>
    <row r="41" spans="1:53" x14ac:dyDescent="0.2">
      <c r="A41" t="s">
        <v>60</v>
      </c>
      <c r="B41" t="s">
        <v>54</v>
      </c>
      <c r="C41">
        <v>16648302</v>
      </c>
      <c r="D41">
        <v>1021</v>
      </c>
      <c r="AM41">
        <v>1</v>
      </c>
      <c r="AT41" t="s">
        <v>61</v>
      </c>
      <c r="AU41" t="s">
        <v>62</v>
      </c>
      <c r="AV41" t="s">
        <v>46</v>
      </c>
      <c r="AW41">
        <v>16951093</v>
      </c>
      <c r="AX41">
        <v>17095782</v>
      </c>
      <c r="AY41" t="str">
        <f>HYPERLINK("http://genome.ucsc.edu/cgi-bin/hgTracks?clade=vertebrate&amp;org=Human&amp;db=hg19&amp;position=chr10:16618302-16678302")</f>
        <v>http://genome.ucsc.edu/cgi-bin/hgTracks?clade=vertebrate&amp;org=Human&amp;db=hg19&amp;position=chr10:16618302-16678302</v>
      </c>
      <c r="AZ41" t="s">
        <v>55</v>
      </c>
      <c r="BA41">
        <v>302791</v>
      </c>
    </row>
    <row r="42" spans="1:53" x14ac:dyDescent="0.2">
      <c r="A42" t="s">
        <v>75</v>
      </c>
      <c r="B42" t="s">
        <v>54</v>
      </c>
      <c r="C42">
        <v>26426394</v>
      </c>
      <c r="D42">
        <v>1005</v>
      </c>
      <c r="AT42" t="s">
        <v>76</v>
      </c>
      <c r="AU42" t="s">
        <v>77</v>
      </c>
      <c r="AV42" t="s">
        <v>46</v>
      </c>
      <c r="AW42">
        <v>26283158</v>
      </c>
      <c r="AX42">
        <v>26312406</v>
      </c>
      <c r="AY42" t="str">
        <f>HYPERLINK("http://genome.ucsc.edu/cgi-bin/hgTracks?clade=vertebrate&amp;org=Human&amp;db=hg19&amp;position=chr13:26396394-26456394")</f>
        <v>http://genome.ucsc.edu/cgi-bin/hgTracks?clade=vertebrate&amp;org=Human&amp;db=hg19&amp;position=chr13:26396394-26456394</v>
      </c>
      <c r="AZ42" t="s">
        <v>55</v>
      </c>
      <c r="BA42">
        <v>113988</v>
      </c>
    </row>
    <row r="43" spans="1:53" x14ac:dyDescent="0.2">
      <c r="A43" t="s">
        <v>85</v>
      </c>
      <c r="B43" t="s">
        <v>54</v>
      </c>
      <c r="C43">
        <v>96920707</v>
      </c>
      <c r="D43">
        <v>919</v>
      </c>
      <c r="AT43" t="s">
        <v>88</v>
      </c>
      <c r="AU43" t="s">
        <v>89</v>
      </c>
      <c r="AV43" t="s">
        <v>46</v>
      </c>
      <c r="AW43">
        <v>96994822</v>
      </c>
      <c r="AX43">
        <v>97055956</v>
      </c>
      <c r="AY43" t="str">
        <f>HYPERLINK("http://genome.ucsc.edu/cgi-bin/hgTracks?clade=vertebrate&amp;org=Human&amp;db=hg19&amp;position=chr15:96890707-96950707")</f>
        <v>http://genome.ucsc.edu/cgi-bin/hgTracks?clade=vertebrate&amp;org=Human&amp;db=hg19&amp;position=chr15:96890707-96950707</v>
      </c>
      <c r="AZ43" t="s">
        <v>55</v>
      </c>
      <c r="BA43">
        <v>74115</v>
      </c>
    </row>
    <row r="44" spans="1:53" x14ac:dyDescent="0.2">
      <c r="A44" t="s">
        <v>45</v>
      </c>
      <c r="B44" t="s">
        <v>46</v>
      </c>
      <c r="C44">
        <v>20221001</v>
      </c>
      <c r="D44">
        <v>916</v>
      </c>
      <c r="AT44" t="s">
        <v>47</v>
      </c>
      <c r="AU44" t="s">
        <v>48</v>
      </c>
      <c r="AV44" t="s">
        <v>46</v>
      </c>
      <c r="AW44">
        <v>20057778</v>
      </c>
      <c r="AX44">
        <v>20618057</v>
      </c>
      <c r="AY44" t="str">
        <f>HYPERLINK("http://genome.ucsc.edu/cgi-bin/hgTracks?clade=vertebrate&amp;org=Human&amp;db=hg19&amp;position=chr1:20191001-20251001")</f>
        <v>http://genome.ucsc.edu/cgi-bin/hgTracks?clade=vertebrate&amp;org=Human&amp;db=hg19&amp;position=chr1:20191001-20251001</v>
      </c>
      <c r="AZ44" t="s">
        <v>49</v>
      </c>
      <c r="BA44" t="s">
        <v>50</v>
      </c>
    </row>
    <row r="45" spans="1:53" x14ac:dyDescent="0.2">
      <c r="A45" t="s">
        <v>90</v>
      </c>
      <c r="B45" t="s">
        <v>54</v>
      </c>
      <c r="C45" s="7">
        <v>77463313</v>
      </c>
      <c r="D45" s="7">
        <v>700</v>
      </c>
      <c r="AT45" t="s">
        <v>93</v>
      </c>
      <c r="AU45" t="s">
        <v>94</v>
      </c>
      <c r="AV45" t="s">
        <v>54</v>
      </c>
      <c r="AW45">
        <v>77329327</v>
      </c>
      <c r="AX45">
        <v>77558428</v>
      </c>
      <c r="AY45" t="str">
        <f>HYPERLINK("http://genome.ucsc.edu/cgi-bin/hgTracks?clade=vertebrate&amp;org=Human&amp;db=hg19&amp;position=chr16:77433313-77493313")</f>
        <v>http://genome.ucsc.edu/cgi-bin/hgTracks?clade=vertebrate&amp;org=Human&amp;db=hg19&amp;position=chr16:77433313-77493313</v>
      </c>
      <c r="AZ45" t="s">
        <v>49</v>
      </c>
      <c r="BA45" t="s">
        <v>50</v>
      </c>
    </row>
    <row r="46" spans="1:53" x14ac:dyDescent="0.2">
      <c r="A46" t="s">
        <v>90</v>
      </c>
      <c r="B46" t="s">
        <v>54</v>
      </c>
      <c r="C46">
        <v>42802811</v>
      </c>
      <c r="D46">
        <v>537</v>
      </c>
      <c r="F46">
        <v>1</v>
      </c>
      <c r="AT46" t="s">
        <v>91</v>
      </c>
      <c r="AU46" t="s">
        <v>92</v>
      </c>
      <c r="AV46" t="s">
        <v>46</v>
      </c>
      <c r="AW46">
        <v>42725701</v>
      </c>
      <c r="AX46">
        <v>42875587</v>
      </c>
      <c r="AY46" t="str">
        <f>HYPERLINK("http://genome.ucsc.edu/cgi-bin/hgTracks?clade=vertebrate&amp;org=Human&amp;db=hg19&amp;position=chr16:42772811-42832811")</f>
        <v>http://genome.ucsc.edu/cgi-bin/hgTracks?clade=vertebrate&amp;org=Human&amp;db=hg19&amp;position=chr16:42772811-42832811</v>
      </c>
      <c r="AZ46" t="s">
        <v>49</v>
      </c>
      <c r="BA46" t="s">
        <v>50</v>
      </c>
    </row>
    <row r="47" spans="1:53" x14ac:dyDescent="0.2">
      <c r="A47" t="s">
        <v>90</v>
      </c>
      <c r="B47" t="s">
        <v>54</v>
      </c>
      <c r="C47" s="7">
        <v>77463311</v>
      </c>
      <c r="D47" s="7">
        <v>183</v>
      </c>
      <c r="AT47" t="s">
        <v>93</v>
      </c>
      <c r="AU47" t="s">
        <v>94</v>
      </c>
      <c r="AV47" t="s">
        <v>54</v>
      </c>
      <c r="AW47">
        <v>77329327</v>
      </c>
      <c r="AX47">
        <v>77558428</v>
      </c>
      <c r="AY47" t="str">
        <f>HYPERLINK("http://genome.ucsc.edu/cgi-bin/hgTracks?clade=vertebrate&amp;org=Human&amp;db=hg19&amp;position=chr16:77433311-77493311")</f>
        <v>http://genome.ucsc.edu/cgi-bin/hgTracks?clade=vertebrate&amp;org=Human&amp;db=hg19&amp;position=chr16:77433311-77493311</v>
      </c>
      <c r="AZ47" t="s">
        <v>49</v>
      </c>
      <c r="BA47" t="s">
        <v>50</v>
      </c>
    </row>
    <row r="48" spans="1:53" x14ac:dyDescent="0.2">
      <c r="A48" t="s">
        <v>90</v>
      </c>
      <c r="B48" t="s">
        <v>54</v>
      </c>
      <c r="C48" s="7">
        <v>77463310</v>
      </c>
      <c r="D48" s="7">
        <v>14</v>
      </c>
      <c r="AT48" t="s">
        <v>93</v>
      </c>
      <c r="AU48" t="s">
        <v>94</v>
      </c>
      <c r="AV48" t="s">
        <v>54</v>
      </c>
      <c r="AW48">
        <v>77329327</v>
      </c>
      <c r="AX48">
        <v>77558428</v>
      </c>
      <c r="AY48" t="str">
        <f>HYPERLINK("http://genome.ucsc.edu/cgi-bin/hgTracks?clade=vertebrate&amp;org=Human&amp;db=hg19&amp;position=chr16:77433310-77493310")</f>
        <v>http://genome.ucsc.edu/cgi-bin/hgTracks?clade=vertebrate&amp;org=Human&amp;db=hg19&amp;position=chr16:77433310-77493310</v>
      </c>
      <c r="AZ48" t="s">
        <v>49</v>
      </c>
      <c r="BA48" t="s">
        <v>50</v>
      </c>
    </row>
    <row r="49" spans="1:53" x14ac:dyDescent="0.2">
      <c r="A49" t="s">
        <v>95</v>
      </c>
      <c r="B49" t="s">
        <v>54</v>
      </c>
      <c r="C49">
        <v>10286430</v>
      </c>
      <c r="D49">
        <v>4</v>
      </c>
      <c r="AT49" t="s">
        <v>96</v>
      </c>
      <c r="AU49" t="s">
        <v>97</v>
      </c>
      <c r="AV49" t="s">
        <v>46</v>
      </c>
      <c r="AW49">
        <v>10210179</v>
      </c>
      <c r="AX49">
        <v>10319361</v>
      </c>
      <c r="AY49" t="str">
        <f>HYPERLINK("http://genome.ucsc.edu/cgi-bin/hgTracks?clade=vertebrate&amp;org=Human&amp;db=hg19&amp;position=chr17:10256430-10316430")</f>
        <v>http://genome.ucsc.edu/cgi-bin/hgTracks?clade=vertebrate&amp;org=Human&amp;db=hg19&amp;position=chr17:10256430-10316430</v>
      </c>
      <c r="AZ49" t="s">
        <v>49</v>
      </c>
      <c r="BA49" t="s">
        <v>50</v>
      </c>
    </row>
    <row r="50" spans="1:53" x14ac:dyDescent="0.2">
      <c r="A50" t="s">
        <v>72</v>
      </c>
      <c r="B50" t="s">
        <v>54</v>
      </c>
      <c r="C50">
        <v>18756677</v>
      </c>
      <c r="D50">
        <v>3</v>
      </c>
      <c r="AT50" t="s">
        <v>183</v>
      </c>
      <c r="AU50" t="s">
        <v>184</v>
      </c>
      <c r="AV50" t="s">
        <v>54</v>
      </c>
      <c r="AW50">
        <v>18514509</v>
      </c>
      <c r="AX50">
        <v>18535254</v>
      </c>
      <c r="AY50" t="str">
        <f>HYPERLINK("http://genome.ucsc.edu/cgi-bin/hgTracks?clade=vertebrate&amp;org=Human&amp;db=hg19&amp;position=chr12:18726677-18786677")</f>
        <v>http://genome.ucsc.edu/cgi-bin/hgTracks?clade=vertebrate&amp;org=Human&amp;db=hg19&amp;position=chr12:18726677-18786677</v>
      </c>
      <c r="AZ50" t="s">
        <v>55</v>
      </c>
      <c r="BA50">
        <v>221423</v>
      </c>
    </row>
    <row r="51" spans="1:53" x14ac:dyDescent="0.2">
      <c r="A51" t="s">
        <v>85</v>
      </c>
      <c r="B51" t="s">
        <v>54</v>
      </c>
      <c r="C51">
        <v>96920706</v>
      </c>
      <c r="D51">
        <v>2</v>
      </c>
      <c r="AT51" t="s">
        <v>88</v>
      </c>
      <c r="AU51" t="s">
        <v>89</v>
      </c>
      <c r="AV51" t="s">
        <v>46</v>
      </c>
      <c r="AW51">
        <v>96994822</v>
      </c>
      <c r="AX51">
        <v>97055956</v>
      </c>
      <c r="AY51" t="str">
        <f>HYPERLINK("http://genome.ucsc.edu/cgi-bin/hgTracks?clade=vertebrate&amp;org=Human&amp;db=hg19&amp;position=chr15:96890706-96950706")</f>
        <v>http://genome.ucsc.edu/cgi-bin/hgTracks?clade=vertebrate&amp;org=Human&amp;db=hg19&amp;position=chr15:96890706-96950706</v>
      </c>
      <c r="AZ51" t="s">
        <v>55</v>
      </c>
      <c r="BA51">
        <v>74116</v>
      </c>
    </row>
    <row r="52" spans="1:53" x14ac:dyDescent="0.2">
      <c r="A52" t="s">
        <v>90</v>
      </c>
      <c r="B52" t="s">
        <v>54</v>
      </c>
      <c r="C52">
        <v>77463314</v>
      </c>
      <c r="D52">
        <v>2</v>
      </c>
      <c r="AT52" t="s">
        <v>93</v>
      </c>
      <c r="AU52" t="s">
        <v>94</v>
      </c>
      <c r="AV52" t="s">
        <v>54</v>
      </c>
      <c r="AW52">
        <v>77329327</v>
      </c>
      <c r="AX52">
        <v>77558428</v>
      </c>
      <c r="AY52" t="str">
        <f>HYPERLINK("http://genome.ucsc.edu/cgi-bin/hgTracks?clade=vertebrate&amp;org=Human&amp;db=hg19&amp;position=chr16:77433314-77493314")</f>
        <v>http://genome.ucsc.edu/cgi-bin/hgTracks?clade=vertebrate&amp;org=Human&amp;db=hg19&amp;position=chr16:77433314-77493314</v>
      </c>
      <c r="AZ52" t="s">
        <v>49</v>
      </c>
      <c r="BA52" t="s">
        <v>50</v>
      </c>
    </row>
    <row r="53" spans="1:53" x14ac:dyDescent="0.2">
      <c r="A53" t="s">
        <v>108</v>
      </c>
      <c r="B53" t="s">
        <v>46</v>
      </c>
      <c r="C53">
        <v>95558328</v>
      </c>
      <c r="D53">
        <v>2</v>
      </c>
      <c r="AT53" t="s">
        <v>113</v>
      </c>
      <c r="AU53" t="s">
        <v>114</v>
      </c>
      <c r="AV53" t="s">
        <v>54</v>
      </c>
      <c r="AW53">
        <v>96318168</v>
      </c>
      <c r="AX53">
        <v>97631664</v>
      </c>
      <c r="AY53" t="str">
        <f>HYPERLINK("http://genome.ucsc.edu/cgi-bin/hgTracks?clade=vertebrate&amp;org=Human&amp;db=hg19&amp;position=chr2:95528328-95588328")</f>
        <v>http://genome.ucsc.edu/cgi-bin/hgTracks?clade=vertebrate&amp;org=Human&amp;db=hg19&amp;position=chr2:95528328-95588328</v>
      </c>
      <c r="AZ53" t="s">
        <v>55</v>
      </c>
      <c r="BA53">
        <v>759840</v>
      </c>
    </row>
    <row r="54" spans="1:53" x14ac:dyDescent="0.2">
      <c r="A54" t="s">
        <v>45</v>
      </c>
      <c r="B54" t="s">
        <v>46</v>
      </c>
      <c r="C54">
        <v>20221002</v>
      </c>
      <c r="D54">
        <v>1</v>
      </c>
      <c r="AT54" t="s">
        <v>47</v>
      </c>
      <c r="AU54" t="s">
        <v>48</v>
      </c>
      <c r="AV54" t="s">
        <v>46</v>
      </c>
      <c r="AW54">
        <v>20057778</v>
      </c>
      <c r="AX54">
        <v>20618057</v>
      </c>
      <c r="AY54" t="str">
        <f>HYPERLINK("http://genome.ucsc.edu/cgi-bin/hgTracks?clade=vertebrate&amp;org=Human&amp;db=hg19&amp;position=chr1:20191002-20251002")</f>
        <v>http://genome.ucsc.edu/cgi-bin/hgTracks?clade=vertebrate&amp;org=Human&amp;db=hg19&amp;position=chr1:20191002-20251002</v>
      </c>
      <c r="AZ54" t="s">
        <v>49</v>
      </c>
      <c r="BA54" t="s">
        <v>50</v>
      </c>
    </row>
    <row r="55" spans="1:53" x14ac:dyDescent="0.2">
      <c r="A55" t="s">
        <v>67</v>
      </c>
      <c r="B55" t="s">
        <v>54</v>
      </c>
      <c r="C55">
        <v>48805343</v>
      </c>
      <c r="D55">
        <v>1</v>
      </c>
      <c r="K55">
        <v>1</v>
      </c>
      <c r="AF55">
        <v>1</v>
      </c>
      <c r="AM55">
        <v>14149</v>
      </c>
      <c r="AT55" t="s">
        <v>68</v>
      </c>
      <c r="AU55" t="s">
        <v>69</v>
      </c>
      <c r="AV55" t="s">
        <v>54</v>
      </c>
      <c r="AW55">
        <v>48800359</v>
      </c>
      <c r="AX55">
        <v>48806241</v>
      </c>
      <c r="AY55" t="str">
        <f>HYPERLINK("http://genome.ucsc.edu/cgi-bin/hgTracks?clade=vertebrate&amp;org=Human&amp;db=hg19&amp;position=chr11:48775343-48835343")</f>
        <v>http://genome.ucsc.edu/cgi-bin/hgTracks?clade=vertebrate&amp;org=Human&amp;db=hg19&amp;position=chr11:48775343-48835343</v>
      </c>
      <c r="AZ55" t="s">
        <v>49</v>
      </c>
      <c r="BA55" t="s">
        <v>50</v>
      </c>
    </row>
    <row r="56" spans="1:53" x14ac:dyDescent="0.2">
      <c r="A56" t="s">
        <v>85</v>
      </c>
      <c r="B56" t="s">
        <v>54</v>
      </c>
      <c r="C56">
        <v>96920708</v>
      </c>
      <c r="D56">
        <v>1</v>
      </c>
      <c r="AT56" t="s">
        <v>88</v>
      </c>
      <c r="AU56" t="s">
        <v>89</v>
      </c>
      <c r="AV56" t="s">
        <v>46</v>
      </c>
      <c r="AW56">
        <v>96994822</v>
      </c>
      <c r="AX56">
        <v>97055956</v>
      </c>
      <c r="AY56" t="str">
        <f>HYPERLINK("http://genome.ucsc.edu/cgi-bin/hgTracks?clade=vertebrate&amp;org=Human&amp;db=hg19&amp;position=chr15:96890708-96950708")</f>
        <v>http://genome.ucsc.edu/cgi-bin/hgTracks?clade=vertebrate&amp;org=Human&amp;db=hg19&amp;position=chr15:96890708-96950708</v>
      </c>
      <c r="AZ56" t="s">
        <v>55</v>
      </c>
      <c r="BA56">
        <v>74114</v>
      </c>
    </row>
    <row r="57" spans="1:53" x14ac:dyDescent="0.2">
      <c r="A57" t="s">
        <v>85</v>
      </c>
      <c r="B57" t="s">
        <v>54</v>
      </c>
      <c r="C57">
        <v>96920709</v>
      </c>
      <c r="D57">
        <v>1</v>
      </c>
      <c r="AT57" t="s">
        <v>88</v>
      </c>
      <c r="AU57" t="s">
        <v>89</v>
      </c>
      <c r="AV57" t="s">
        <v>46</v>
      </c>
      <c r="AW57">
        <v>96994822</v>
      </c>
      <c r="AX57">
        <v>97055956</v>
      </c>
      <c r="AY57" t="str">
        <f>HYPERLINK("http://genome.ucsc.edu/cgi-bin/hgTracks?clade=vertebrate&amp;org=Human&amp;db=hg19&amp;position=chr15:96890709-96950709")</f>
        <v>http://genome.ucsc.edu/cgi-bin/hgTracks?clade=vertebrate&amp;org=Human&amp;db=hg19&amp;position=chr15:96890709-96950709</v>
      </c>
      <c r="AZ57" t="s">
        <v>55</v>
      </c>
      <c r="BA57">
        <v>74113</v>
      </c>
    </row>
    <row r="58" spans="1:53" x14ac:dyDescent="0.2">
      <c r="A58" t="s">
        <v>90</v>
      </c>
      <c r="B58" t="s">
        <v>54</v>
      </c>
      <c r="C58">
        <v>77463312</v>
      </c>
      <c r="D58">
        <v>1</v>
      </c>
      <c r="AT58" t="s">
        <v>93</v>
      </c>
      <c r="AU58" t="s">
        <v>94</v>
      </c>
      <c r="AV58" t="s">
        <v>54</v>
      </c>
      <c r="AW58">
        <v>77329327</v>
      </c>
      <c r="AX58">
        <v>77558428</v>
      </c>
      <c r="AY58" t="str">
        <f>HYPERLINK("http://genome.ucsc.edu/cgi-bin/hgTracks?clade=vertebrate&amp;org=Human&amp;db=hg19&amp;position=chr16:77433312-77493312")</f>
        <v>http://genome.ucsc.edu/cgi-bin/hgTracks?clade=vertebrate&amp;org=Human&amp;db=hg19&amp;position=chr16:77433312-77493312</v>
      </c>
      <c r="AZ58" t="s">
        <v>49</v>
      </c>
      <c r="BA58" t="s">
        <v>50</v>
      </c>
    </row>
    <row r="59" spans="1:53" x14ac:dyDescent="0.2">
      <c r="A59" t="s">
        <v>45</v>
      </c>
      <c r="B59" t="s">
        <v>46</v>
      </c>
      <c r="C59">
        <v>111857104</v>
      </c>
      <c r="I59">
        <v>1</v>
      </c>
      <c r="P59">
        <v>1</v>
      </c>
      <c r="AD59">
        <v>5747</v>
      </c>
      <c r="AR59">
        <v>1</v>
      </c>
      <c r="AT59" t="s">
        <v>58</v>
      </c>
      <c r="AU59" t="s">
        <v>59</v>
      </c>
      <c r="AV59" t="s">
        <v>46</v>
      </c>
      <c r="AW59">
        <v>111858701</v>
      </c>
      <c r="AX59">
        <v>111864918</v>
      </c>
      <c r="AY59" t="str">
        <f>HYPERLINK("http://genome.ucsc.edu/cgi-bin/hgTracks?clade=vertebrate&amp;org=Human&amp;db=hg19&amp;position=chr1:111827104-111887104")</f>
        <v>http://genome.ucsc.edu/cgi-bin/hgTracks?clade=vertebrate&amp;org=Human&amp;db=hg19&amp;position=chr1:111827104-111887104</v>
      </c>
      <c r="AZ59" t="s">
        <v>55</v>
      </c>
      <c r="BA59">
        <v>1597</v>
      </c>
    </row>
    <row r="60" spans="1:53" x14ac:dyDescent="0.2">
      <c r="A60" t="s">
        <v>95</v>
      </c>
      <c r="B60" t="s">
        <v>46</v>
      </c>
      <c r="C60">
        <v>61770284</v>
      </c>
      <c r="I60">
        <v>2</v>
      </c>
      <c r="AD60">
        <v>5477</v>
      </c>
      <c r="AR60">
        <v>1</v>
      </c>
      <c r="AT60" t="s">
        <v>100</v>
      </c>
      <c r="AU60" t="s">
        <v>101</v>
      </c>
      <c r="AV60" t="s">
        <v>46</v>
      </c>
      <c r="AW60">
        <v>62602956</v>
      </c>
      <c r="AX60">
        <v>62881317</v>
      </c>
      <c r="AY60" t="str">
        <f>HYPERLINK("http://genome.ucsc.edu/cgi-bin/hgTracks?clade=vertebrate&amp;org=Human&amp;db=hg19&amp;position=chr17:61740284-61800284")</f>
        <v>http://genome.ucsc.edu/cgi-bin/hgTracks?clade=vertebrate&amp;org=Human&amp;db=hg19&amp;position=chr17:61740284-61800284</v>
      </c>
      <c r="AZ60" t="s">
        <v>55</v>
      </c>
      <c r="BA60">
        <v>832672</v>
      </c>
    </row>
    <row r="61" spans="1:53" x14ac:dyDescent="0.2">
      <c r="A61" t="s">
        <v>155</v>
      </c>
      <c r="B61" t="s">
        <v>54</v>
      </c>
      <c r="C61">
        <v>90181473</v>
      </c>
      <c r="F61">
        <v>3</v>
      </c>
      <c r="I61">
        <v>8</v>
      </c>
      <c r="X61">
        <v>1</v>
      </c>
      <c r="AO61">
        <v>19844</v>
      </c>
      <c r="AS61">
        <v>18967</v>
      </c>
      <c r="AT61" t="s">
        <v>160</v>
      </c>
      <c r="AU61" t="s">
        <v>161</v>
      </c>
      <c r="AV61" t="s">
        <v>54</v>
      </c>
      <c r="AW61">
        <v>90130231</v>
      </c>
      <c r="AX61">
        <v>90209447</v>
      </c>
      <c r="AY61" t="str">
        <f>HYPERLINK("http://genome.ucsc.edu/cgi-bin/hgTracks?clade=vertebrate&amp;org=Human&amp;db=hg19&amp;position=chr7:90151473-90211473")</f>
        <v>http://genome.ucsc.edu/cgi-bin/hgTracks?clade=vertebrate&amp;org=Human&amp;db=hg19&amp;position=chr7:90151473-90211473</v>
      </c>
      <c r="AZ61" t="s">
        <v>49</v>
      </c>
      <c r="BA61" t="s">
        <v>50</v>
      </c>
    </row>
    <row r="62" spans="1:53" x14ac:dyDescent="0.2">
      <c r="A62" t="s">
        <v>45</v>
      </c>
      <c r="B62" t="s">
        <v>46</v>
      </c>
      <c r="C62">
        <v>71902314</v>
      </c>
      <c r="AH62">
        <v>4110</v>
      </c>
      <c r="AO62">
        <v>1</v>
      </c>
      <c r="AT62" t="s">
        <v>52</v>
      </c>
      <c r="AU62" t="s">
        <v>53</v>
      </c>
      <c r="AV62" t="s">
        <v>54</v>
      </c>
      <c r="AW62">
        <v>71888111</v>
      </c>
      <c r="AX62">
        <v>71891204</v>
      </c>
      <c r="AY62" t="str">
        <f>HYPERLINK("http://genome.ucsc.edu/cgi-bin/hgTracks?clade=vertebrate&amp;org=Human&amp;db=hg19&amp;position=chr1:71872314-71932314")</f>
        <v>http://genome.ucsc.edu/cgi-bin/hgTracks?clade=vertebrate&amp;org=Human&amp;db=hg19&amp;position=chr1:71872314-71932314</v>
      </c>
      <c r="AZ62" t="s">
        <v>55</v>
      </c>
      <c r="BA62">
        <v>11110</v>
      </c>
    </row>
    <row r="63" spans="1:53" x14ac:dyDescent="0.2">
      <c r="A63" t="s">
        <v>45</v>
      </c>
      <c r="B63" t="s">
        <v>54</v>
      </c>
      <c r="C63">
        <v>97720968</v>
      </c>
      <c r="F63">
        <v>4942</v>
      </c>
      <c r="M63">
        <v>1</v>
      </c>
      <c r="AT63" t="s">
        <v>56</v>
      </c>
      <c r="AU63" t="s">
        <v>57</v>
      </c>
      <c r="AV63" t="s">
        <v>46</v>
      </c>
      <c r="AW63">
        <v>97706042</v>
      </c>
      <c r="AX63">
        <v>97770092</v>
      </c>
      <c r="AY63" t="str">
        <f>HYPERLINK("http://genome.ucsc.edu/cgi-bin/hgTracks?clade=vertebrate&amp;org=Human&amp;db=hg19&amp;position=chr1:97690968-97750968")</f>
        <v>http://genome.ucsc.edu/cgi-bin/hgTracks?clade=vertebrate&amp;org=Human&amp;db=hg19&amp;position=chr1:97690968-97750968</v>
      </c>
      <c r="AZ63" t="s">
        <v>49</v>
      </c>
      <c r="BA63" t="s">
        <v>50</v>
      </c>
    </row>
    <row r="64" spans="1:53" x14ac:dyDescent="0.2">
      <c r="A64" t="s">
        <v>45</v>
      </c>
      <c r="B64" t="s">
        <v>46</v>
      </c>
      <c r="C64">
        <v>111857105</v>
      </c>
      <c r="AD64">
        <v>5</v>
      </c>
      <c r="AT64" t="s">
        <v>58</v>
      </c>
      <c r="AU64" t="s">
        <v>59</v>
      </c>
      <c r="AV64" t="s">
        <v>46</v>
      </c>
      <c r="AW64">
        <v>111858701</v>
      </c>
      <c r="AX64">
        <v>111864918</v>
      </c>
      <c r="AY64" t="str">
        <f>HYPERLINK("http://genome.ucsc.edu/cgi-bin/hgTracks?clade=vertebrate&amp;org=Human&amp;db=hg19&amp;position=chr1:111827105-111887105")</f>
        <v>http://genome.ucsc.edu/cgi-bin/hgTracks?clade=vertebrate&amp;org=Human&amp;db=hg19&amp;position=chr1:111827105-111887105</v>
      </c>
      <c r="AZ64" t="s">
        <v>55</v>
      </c>
      <c r="BA64">
        <v>1596</v>
      </c>
    </row>
    <row r="65" spans="1:53" x14ac:dyDescent="0.2">
      <c r="A65" t="s">
        <v>60</v>
      </c>
      <c r="B65" t="s">
        <v>54</v>
      </c>
      <c r="C65">
        <v>3802053</v>
      </c>
      <c r="M65">
        <v>3</v>
      </c>
      <c r="AT65" t="s">
        <v>177</v>
      </c>
      <c r="AU65" t="s">
        <v>178</v>
      </c>
      <c r="AV65" t="s">
        <v>54</v>
      </c>
      <c r="AW65">
        <v>3740376</v>
      </c>
      <c r="AX65">
        <v>3967302</v>
      </c>
      <c r="AY65" t="str">
        <f>HYPERLINK("http://genome.ucsc.edu/cgi-bin/hgTracks?clade=vertebrate&amp;org=Human&amp;db=hg19&amp;position=chr10:3772053-3832053")</f>
        <v>http://genome.ucsc.edu/cgi-bin/hgTracks?clade=vertebrate&amp;org=Human&amp;db=hg19&amp;position=chr10:3772053-3832053</v>
      </c>
      <c r="AZ65" t="s">
        <v>49</v>
      </c>
      <c r="BA65" t="s">
        <v>50</v>
      </c>
    </row>
    <row r="66" spans="1:53" x14ac:dyDescent="0.2">
      <c r="A66" t="s">
        <v>60</v>
      </c>
      <c r="B66" t="s">
        <v>46</v>
      </c>
      <c r="C66">
        <v>24508814</v>
      </c>
      <c r="U66">
        <v>21956</v>
      </c>
      <c r="AT66" t="s">
        <v>63</v>
      </c>
      <c r="AU66" t="s">
        <v>64</v>
      </c>
      <c r="AV66" t="s">
        <v>54</v>
      </c>
      <c r="AW66">
        <v>24595441</v>
      </c>
      <c r="AX66">
        <v>24598682</v>
      </c>
      <c r="AY66" t="str">
        <f>HYPERLINK("http://genome.ucsc.edu/cgi-bin/hgTracks?clade=vertebrate&amp;org=Human&amp;db=hg19&amp;position=chr10:24478814-24538814")</f>
        <v>http://genome.ucsc.edu/cgi-bin/hgTracks?clade=vertebrate&amp;org=Human&amp;db=hg19&amp;position=chr10:24478814-24538814</v>
      </c>
      <c r="AZ66" t="s">
        <v>55</v>
      </c>
      <c r="BA66">
        <v>86627</v>
      </c>
    </row>
    <row r="67" spans="1:53" x14ac:dyDescent="0.2">
      <c r="A67" t="s">
        <v>60</v>
      </c>
      <c r="B67" t="s">
        <v>54</v>
      </c>
      <c r="C67">
        <v>51157708</v>
      </c>
      <c r="G67">
        <v>1</v>
      </c>
      <c r="AT67" t="s">
        <v>179</v>
      </c>
      <c r="AU67" t="s">
        <v>180</v>
      </c>
      <c r="AV67" t="s">
        <v>54</v>
      </c>
      <c r="AW67">
        <v>50895650</v>
      </c>
      <c r="AX67">
        <v>50989152</v>
      </c>
      <c r="AY67" t="str">
        <f>HYPERLINK("http://genome.ucsc.edu/cgi-bin/hgTracks?clade=vertebrate&amp;org=Human&amp;db=hg19&amp;position=chr10:51127708-51187708")</f>
        <v>http://genome.ucsc.edu/cgi-bin/hgTracks?clade=vertebrate&amp;org=Human&amp;db=hg19&amp;position=chr10:51127708-51187708</v>
      </c>
      <c r="AZ67" t="s">
        <v>55</v>
      </c>
      <c r="BA67">
        <v>168556</v>
      </c>
    </row>
    <row r="68" spans="1:53" x14ac:dyDescent="0.2">
      <c r="A68" t="s">
        <v>60</v>
      </c>
      <c r="B68" t="s">
        <v>54</v>
      </c>
      <c r="C68">
        <v>77306899</v>
      </c>
      <c r="S68">
        <v>1</v>
      </c>
      <c r="X68">
        <v>1</v>
      </c>
      <c r="AT68" t="s">
        <v>181</v>
      </c>
      <c r="AU68" t="s">
        <v>182</v>
      </c>
      <c r="AV68" t="s">
        <v>46</v>
      </c>
      <c r="AW68">
        <v>77290726</v>
      </c>
      <c r="AX68">
        <v>77418273</v>
      </c>
      <c r="AY68" t="str">
        <f>HYPERLINK("http://genome.ucsc.edu/cgi-bin/hgTracks?clade=vertebrate&amp;org=Human&amp;db=hg19&amp;position=chr10:77276899-77336899")</f>
        <v>http://genome.ucsc.edu/cgi-bin/hgTracks?clade=vertebrate&amp;org=Human&amp;db=hg19&amp;position=chr10:77276899-77336899</v>
      </c>
      <c r="AZ68" t="s">
        <v>49</v>
      </c>
      <c r="BA68" t="s">
        <v>50</v>
      </c>
    </row>
    <row r="69" spans="1:53" x14ac:dyDescent="0.2">
      <c r="A69" t="s">
        <v>67</v>
      </c>
      <c r="B69" t="s">
        <v>54</v>
      </c>
      <c r="C69">
        <v>48805342</v>
      </c>
      <c r="AM69">
        <v>20</v>
      </c>
      <c r="AT69" t="s">
        <v>68</v>
      </c>
      <c r="AU69" t="s">
        <v>69</v>
      </c>
      <c r="AV69" t="s">
        <v>54</v>
      </c>
      <c r="AW69">
        <v>48800359</v>
      </c>
      <c r="AX69">
        <v>48806241</v>
      </c>
      <c r="AY69" t="str">
        <f>HYPERLINK("http://genome.ucsc.edu/cgi-bin/hgTracks?clade=vertebrate&amp;org=Human&amp;db=hg19&amp;position=chr11:48775342-48835342")</f>
        <v>http://genome.ucsc.edu/cgi-bin/hgTracks?clade=vertebrate&amp;org=Human&amp;db=hg19&amp;position=chr11:48775342-48835342</v>
      </c>
      <c r="AZ69" t="s">
        <v>49</v>
      </c>
      <c r="BA69" t="s">
        <v>50</v>
      </c>
    </row>
    <row r="70" spans="1:53" x14ac:dyDescent="0.2">
      <c r="A70" t="s">
        <v>67</v>
      </c>
      <c r="B70" t="s">
        <v>46</v>
      </c>
      <c r="C70">
        <v>121586257</v>
      </c>
      <c r="AD70">
        <v>1481</v>
      </c>
      <c r="AT70" t="s">
        <v>70</v>
      </c>
      <c r="AU70" t="s">
        <v>71</v>
      </c>
      <c r="AV70" t="s">
        <v>54</v>
      </c>
      <c r="AW70">
        <v>121451948</v>
      </c>
      <c r="AX70">
        <v>121617170</v>
      </c>
      <c r="AY70" t="str">
        <f>HYPERLINK("http://genome.ucsc.edu/cgi-bin/hgTracks?clade=vertebrate&amp;org=Human&amp;db=hg19&amp;position=chr11:121556257-121616257")</f>
        <v>http://genome.ucsc.edu/cgi-bin/hgTracks?clade=vertebrate&amp;org=Human&amp;db=hg19&amp;position=chr11:121556257-121616257</v>
      </c>
      <c r="AZ70" t="s">
        <v>49</v>
      </c>
      <c r="BA70" t="s">
        <v>50</v>
      </c>
    </row>
    <row r="71" spans="1:53" x14ac:dyDescent="0.2">
      <c r="A71" t="s">
        <v>67</v>
      </c>
      <c r="B71" t="s">
        <v>46</v>
      </c>
      <c r="C71">
        <v>121586258</v>
      </c>
      <c r="AD71">
        <v>6</v>
      </c>
      <c r="AT71" t="s">
        <v>70</v>
      </c>
      <c r="AU71" t="s">
        <v>71</v>
      </c>
      <c r="AV71" t="s">
        <v>54</v>
      </c>
      <c r="AW71">
        <v>121451948</v>
      </c>
      <c r="AX71">
        <v>121617170</v>
      </c>
      <c r="AY71" t="str">
        <f>HYPERLINK("http://genome.ucsc.edu/cgi-bin/hgTracks?clade=vertebrate&amp;org=Human&amp;db=hg19&amp;position=chr11:121556258-121616258")</f>
        <v>http://genome.ucsc.edu/cgi-bin/hgTracks?clade=vertebrate&amp;org=Human&amp;db=hg19&amp;position=chr11:121556258-121616258</v>
      </c>
      <c r="AZ71" t="s">
        <v>49</v>
      </c>
      <c r="BA71" t="s">
        <v>50</v>
      </c>
    </row>
    <row r="72" spans="1:53" x14ac:dyDescent="0.2">
      <c r="A72" t="s">
        <v>72</v>
      </c>
      <c r="B72" t="s">
        <v>46</v>
      </c>
      <c r="C72">
        <v>34322282</v>
      </c>
      <c r="F72">
        <v>1</v>
      </c>
      <c r="AT72" t="s">
        <v>185</v>
      </c>
      <c r="AU72" t="s">
        <v>186</v>
      </c>
      <c r="AV72" t="s">
        <v>46</v>
      </c>
      <c r="AW72">
        <v>34047581</v>
      </c>
      <c r="AX72">
        <v>34917095</v>
      </c>
      <c r="AY72" t="str">
        <f>HYPERLINK("http://genome.ucsc.edu/cgi-bin/hgTracks?clade=vertebrate&amp;org=Human&amp;db=hg19&amp;position=chr12:34292282-34352282")</f>
        <v>http://genome.ucsc.edu/cgi-bin/hgTracks?clade=vertebrate&amp;org=Human&amp;db=hg19&amp;position=chr12:34292282-34352282</v>
      </c>
      <c r="AZ72" t="s">
        <v>49</v>
      </c>
      <c r="BA72" t="s">
        <v>50</v>
      </c>
    </row>
    <row r="73" spans="1:53" x14ac:dyDescent="0.2">
      <c r="A73" t="s">
        <v>72</v>
      </c>
      <c r="B73" t="s">
        <v>46</v>
      </c>
      <c r="C73">
        <v>55445566</v>
      </c>
      <c r="I73">
        <v>4</v>
      </c>
      <c r="K73">
        <v>1</v>
      </c>
      <c r="AT73" t="s">
        <v>187</v>
      </c>
      <c r="AU73" t="s">
        <v>188</v>
      </c>
      <c r="AV73" t="s">
        <v>54</v>
      </c>
      <c r="AW73">
        <v>55370694</v>
      </c>
      <c r="AX73">
        <v>55491306</v>
      </c>
      <c r="AY73" t="str">
        <f>HYPERLINK("http://genome.ucsc.edu/cgi-bin/hgTracks?clade=vertebrate&amp;org=Human&amp;db=hg19&amp;position=chr12:55415566-55475566")</f>
        <v>http://genome.ucsc.edu/cgi-bin/hgTracks?clade=vertebrate&amp;org=Human&amp;db=hg19&amp;position=chr12:55415566-55475566</v>
      </c>
      <c r="AZ73" t="s">
        <v>49</v>
      </c>
      <c r="BA73" t="s">
        <v>50</v>
      </c>
    </row>
    <row r="74" spans="1:53" x14ac:dyDescent="0.2">
      <c r="A74" t="s">
        <v>72</v>
      </c>
      <c r="B74" t="s">
        <v>46</v>
      </c>
      <c r="C74">
        <v>103583721</v>
      </c>
      <c r="F74">
        <v>2333</v>
      </c>
      <c r="AT74" t="s">
        <v>73</v>
      </c>
      <c r="AU74" t="s">
        <v>74</v>
      </c>
      <c r="AV74" t="s">
        <v>54</v>
      </c>
      <c r="AW74">
        <v>103532564</v>
      </c>
      <c r="AX74">
        <v>103613832</v>
      </c>
      <c r="AY74" t="str">
        <f>HYPERLINK("http://genome.ucsc.edu/cgi-bin/hgTracks?clade=vertebrate&amp;org=Human&amp;db=hg19&amp;position=chr12:103553721-103613721")</f>
        <v>http://genome.ucsc.edu/cgi-bin/hgTracks?clade=vertebrate&amp;org=Human&amp;db=hg19&amp;position=chr12:103553721-103613721</v>
      </c>
      <c r="AZ74" t="s">
        <v>49</v>
      </c>
      <c r="BA74" t="s">
        <v>50</v>
      </c>
    </row>
    <row r="75" spans="1:53" x14ac:dyDescent="0.2">
      <c r="A75" t="s">
        <v>72</v>
      </c>
      <c r="B75" t="s">
        <v>46</v>
      </c>
      <c r="C75">
        <v>103583722</v>
      </c>
      <c r="F75">
        <v>2</v>
      </c>
      <c r="AT75" t="s">
        <v>73</v>
      </c>
      <c r="AU75" t="s">
        <v>74</v>
      </c>
      <c r="AV75" t="s">
        <v>54</v>
      </c>
      <c r="AW75">
        <v>103532564</v>
      </c>
      <c r="AX75">
        <v>103613832</v>
      </c>
      <c r="AY75" t="str">
        <f>HYPERLINK("http://genome.ucsc.edu/cgi-bin/hgTracks?clade=vertebrate&amp;org=Human&amp;db=hg19&amp;position=chr12:103553722-103613722")</f>
        <v>http://genome.ucsc.edu/cgi-bin/hgTracks?clade=vertebrate&amp;org=Human&amp;db=hg19&amp;position=chr12:103553722-103613722</v>
      </c>
      <c r="AZ75" t="s">
        <v>49</v>
      </c>
      <c r="BA75" t="s">
        <v>50</v>
      </c>
    </row>
    <row r="76" spans="1:53" x14ac:dyDescent="0.2">
      <c r="A76" t="s">
        <v>82</v>
      </c>
      <c r="B76" t="s">
        <v>54</v>
      </c>
      <c r="C76">
        <v>19416107</v>
      </c>
      <c r="S76">
        <v>1</v>
      </c>
      <c r="AT76" t="s">
        <v>191</v>
      </c>
      <c r="AU76" t="s">
        <v>192</v>
      </c>
      <c r="AV76" t="s">
        <v>46</v>
      </c>
      <c r="AW76">
        <v>19594137</v>
      </c>
      <c r="AX76">
        <v>19602587</v>
      </c>
      <c r="AY76" t="str">
        <f>HYPERLINK("http://genome.ucsc.edu/cgi-bin/hgTracks?clade=vertebrate&amp;org=Human&amp;db=hg19&amp;position=chr14:19386107-19446107")</f>
        <v>http://genome.ucsc.edu/cgi-bin/hgTracks?clade=vertebrate&amp;org=Human&amp;db=hg19&amp;position=chr14:19386107-19446107</v>
      </c>
      <c r="AZ76" t="s">
        <v>55</v>
      </c>
      <c r="BA76">
        <v>178030</v>
      </c>
    </row>
    <row r="77" spans="1:53" x14ac:dyDescent="0.2">
      <c r="A77" t="s">
        <v>82</v>
      </c>
      <c r="B77" t="s">
        <v>46</v>
      </c>
      <c r="C77">
        <v>19416697</v>
      </c>
      <c r="G77">
        <v>1</v>
      </c>
      <c r="AT77" t="s">
        <v>191</v>
      </c>
      <c r="AU77" t="s">
        <v>192</v>
      </c>
      <c r="AV77" t="s">
        <v>46</v>
      </c>
      <c r="AW77">
        <v>19594137</v>
      </c>
      <c r="AX77">
        <v>19602587</v>
      </c>
      <c r="AY77" t="str">
        <f>HYPERLINK("http://genome.ucsc.edu/cgi-bin/hgTracks?clade=vertebrate&amp;org=Human&amp;db=hg19&amp;position=chr14:19386697-19446697")</f>
        <v>http://genome.ucsc.edu/cgi-bin/hgTracks?clade=vertebrate&amp;org=Human&amp;db=hg19&amp;position=chr14:19386697-19446697</v>
      </c>
      <c r="AZ77" t="s">
        <v>55</v>
      </c>
      <c r="BA77">
        <v>177440</v>
      </c>
    </row>
    <row r="78" spans="1:53" x14ac:dyDescent="0.2">
      <c r="A78" t="s">
        <v>82</v>
      </c>
      <c r="B78" t="s">
        <v>54</v>
      </c>
      <c r="C78">
        <v>123533678</v>
      </c>
      <c r="G78">
        <v>4</v>
      </c>
      <c r="AT78" t="s">
        <v>193</v>
      </c>
      <c r="AU78" t="s">
        <v>194</v>
      </c>
      <c r="AV78" t="s">
        <v>46</v>
      </c>
      <c r="AW78">
        <v>123276640</v>
      </c>
      <c r="AX78">
        <v>123627144</v>
      </c>
      <c r="AY78" t="str">
        <f>HYPERLINK("http://genome.ucsc.edu/cgi-bin/hgTracks?clade=vertebrate&amp;org=Human&amp;db=hg19&amp;position=chr14:123503678-123563678")</f>
        <v>http://genome.ucsc.edu/cgi-bin/hgTracks?clade=vertebrate&amp;org=Human&amp;db=hg19&amp;position=chr14:123503678-123563678</v>
      </c>
      <c r="AZ78" t="s">
        <v>49</v>
      </c>
      <c r="BA78" t="s">
        <v>50</v>
      </c>
    </row>
    <row r="79" spans="1:53" x14ac:dyDescent="0.2">
      <c r="A79" t="s">
        <v>85</v>
      </c>
      <c r="B79" t="s">
        <v>46</v>
      </c>
      <c r="C79">
        <v>84902207</v>
      </c>
      <c r="P79">
        <v>14</v>
      </c>
      <c r="AT79" t="s">
        <v>197</v>
      </c>
      <c r="AU79" t="s">
        <v>198</v>
      </c>
      <c r="AV79" t="s">
        <v>54</v>
      </c>
      <c r="AW79">
        <v>84923427</v>
      </c>
      <c r="AX79">
        <v>84942963</v>
      </c>
      <c r="AY79" t="str">
        <f>HYPERLINK("http://genome.ucsc.edu/cgi-bin/hgTracks?clade=vertebrate&amp;org=Human&amp;db=hg19&amp;position=chr15:84872207-84932207")</f>
        <v>http://genome.ucsc.edu/cgi-bin/hgTracks?clade=vertebrate&amp;org=Human&amp;db=hg19&amp;position=chr15:84872207-84932207</v>
      </c>
      <c r="AZ79" t="s">
        <v>55</v>
      </c>
      <c r="BA79">
        <v>21220</v>
      </c>
    </row>
    <row r="80" spans="1:53" x14ac:dyDescent="0.2">
      <c r="A80" t="s">
        <v>90</v>
      </c>
      <c r="B80" t="s">
        <v>46</v>
      </c>
      <c r="C80">
        <v>77534309</v>
      </c>
      <c r="G80">
        <v>1</v>
      </c>
      <c r="AT80" t="s">
        <v>93</v>
      </c>
      <c r="AU80" t="s">
        <v>94</v>
      </c>
      <c r="AV80" t="s">
        <v>54</v>
      </c>
      <c r="AW80">
        <v>77329327</v>
      </c>
      <c r="AX80">
        <v>77558428</v>
      </c>
      <c r="AY80" t="str">
        <f>HYPERLINK("http://genome.ucsc.edu/cgi-bin/hgTracks?clade=vertebrate&amp;org=Human&amp;db=hg19&amp;position=chr16:77504309-77564309")</f>
        <v>http://genome.ucsc.edu/cgi-bin/hgTracks?clade=vertebrate&amp;org=Human&amp;db=hg19&amp;position=chr16:77504309-77564309</v>
      </c>
      <c r="AZ80" t="s">
        <v>49</v>
      </c>
      <c r="BA80" t="s">
        <v>50</v>
      </c>
    </row>
    <row r="81" spans="1:53" x14ac:dyDescent="0.2">
      <c r="A81" t="s">
        <v>90</v>
      </c>
      <c r="B81" t="s">
        <v>46</v>
      </c>
      <c r="C81">
        <v>77534311</v>
      </c>
      <c r="G81">
        <v>1443</v>
      </c>
      <c r="AT81" t="s">
        <v>93</v>
      </c>
      <c r="AU81" t="s">
        <v>94</v>
      </c>
      <c r="AV81" t="s">
        <v>54</v>
      </c>
      <c r="AW81">
        <v>77329327</v>
      </c>
      <c r="AX81">
        <v>77558428</v>
      </c>
      <c r="AY81" t="str">
        <f>HYPERLINK("http://genome.ucsc.edu/cgi-bin/hgTracks?clade=vertebrate&amp;org=Human&amp;db=hg19&amp;position=chr16:77504311-77564311")</f>
        <v>http://genome.ucsc.edu/cgi-bin/hgTracks?clade=vertebrate&amp;org=Human&amp;db=hg19&amp;position=chr16:77504311-77564311</v>
      </c>
      <c r="AZ81" t="s">
        <v>49</v>
      </c>
      <c r="BA81" t="s">
        <v>50</v>
      </c>
    </row>
    <row r="82" spans="1:53" x14ac:dyDescent="0.2">
      <c r="A82" t="s">
        <v>95</v>
      </c>
      <c r="B82" t="s">
        <v>46</v>
      </c>
      <c r="C82">
        <v>8253830</v>
      </c>
      <c r="K82">
        <v>1</v>
      </c>
      <c r="AT82" t="s">
        <v>199</v>
      </c>
      <c r="AU82" t="s">
        <v>200</v>
      </c>
      <c r="AV82" t="s">
        <v>54</v>
      </c>
      <c r="AW82">
        <v>8243806</v>
      </c>
      <c r="AX82">
        <v>8257129</v>
      </c>
      <c r="AY82" t="str">
        <f>HYPERLINK("http://genome.ucsc.edu/cgi-bin/hgTracks?clade=vertebrate&amp;org=Human&amp;db=hg19&amp;position=chr17:8223830-8283830")</f>
        <v>http://genome.ucsc.edu/cgi-bin/hgTracks?clade=vertebrate&amp;org=Human&amp;db=hg19&amp;position=chr17:8223830-8283830</v>
      </c>
      <c r="AZ82" t="s">
        <v>49</v>
      </c>
      <c r="BA82" t="s">
        <v>50</v>
      </c>
    </row>
    <row r="83" spans="1:53" x14ac:dyDescent="0.2">
      <c r="A83" t="s">
        <v>108</v>
      </c>
      <c r="B83" t="s">
        <v>54</v>
      </c>
      <c r="C83">
        <v>5878284</v>
      </c>
      <c r="T83">
        <v>1</v>
      </c>
      <c r="AA83">
        <v>1</v>
      </c>
      <c r="AH83">
        <v>4797</v>
      </c>
      <c r="AO83">
        <v>1</v>
      </c>
      <c r="AT83" t="s">
        <v>109</v>
      </c>
      <c r="AU83" t="s">
        <v>110</v>
      </c>
      <c r="AV83" t="s">
        <v>46</v>
      </c>
      <c r="AW83">
        <v>5870986</v>
      </c>
      <c r="AX83">
        <v>5895353</v>
      </c>
      <c r="AY83" t="str">
        <f>HYPERLINK("http://genome.ucsc.edu/cgi-bin/hgTracks?clade=vertebrate&amp;org=Human&amp;db=hg19&amp;position=chr2:5848284-5908284")</f>
        <v>http://genome.ucsc.edu/cgi-bin/hgTracks?clade=vertebrate&amp;org=Human&amp;db=hg19&amp;position=chr2:5848284-5908284</v>
      </c>
      <c r="AZ83" t="s">
        <v>49</v>
      </c>
      <c r="BA83" t="s">
        <v>50</v>
      </c>
    </row>
    <row r="84" spans="1:53" x14ac:dyDescent="0.2">
      <c r="A84" t="s">
        <v>108</v>
      </c>
      <c r="B84" t="s">
        <v>46</v>
      </c>
      <c r="C84">
        <v>33695379</v>
      </c>
      <c r="K84">
        <v>2</v>
      </c>
      <c r="S84">
        <v>2</v>
      </c>
      <c r="X84">
        <v>1</v>
      </c>
      <c r="AT84" t="s">
        <v>201</v>
      </c>
      <c r="AU84" t="s">
        <v>202</v>
      </c>
      <c r="AV84" t="s">
        <v>46</v>
      </c>
      <c r="AW84">
        <v>33729955</v>
      </c>
      <c r="AX84">
        <v>33887946</v>
      </c>
      <c r="AY84" t="str">
        <f>HYPERLINK("http://genome.ucsc.edu/cgi-bin/hgTracks?clade=vertebrate&amp;org=Human&amp;db=hg19&amp;position=chr2:33665379-33725379")</f>
        <v>http://genome.ucsc.edu/cgi-bin/hgTracks?clade=vertebrate&amp;org=Human&amp;db=hg19&amp;position=chr2:33665379-33725379</v>
      </c>
      <c r="AZ84" t="s">
        <v>55</v>
      </c>
      <c r="BA84">
        <v>34576</v>
      </c>
    </row>
    <row r="85" spans="1:53" x14ac:dyDescent="0.2">
      <c r="A85" t="s">
        <v>108</v>
      </c>
      <c r="B85" t="s">
        <v>54</v>
      </c>
      <c r="C85">
        <v>98666913</v>
      </c>
      <c r="I85">
        <v>2</v>
      </c>
      <c r="S85">
        <v>1</v>
      </c>
      <c r="X85">
        <v>1</v>
      </c>
      <c r="AT85" t="s">
        <v>113</v>
      </c>
      <c r="AU85" t="s">
        <v>203</v>
      </c>
      <c r="AV85" t="s">
        <v>54</v>
      </c>
      <c r="AW85">
        <v>97467656</v>
      </c>
      <c r="AX85">
        <v>97631664</v>
      </c>
      <c r="AY85" t="str">
        <f>HYPERLINK("http://genome.ucsc.edu/cgi-bin/hgTracks?clade=vertebrate&amp;org=Human&amp;db=hg19&amp;position=chr2:98636913-98696913")</f>
        <v>http://genome.ucsc.edu/cgi-bin/hgTracks?clade=vertebrate&amp;org=Human&amp;db=hg19&amp;position=chr2:98636913-98696913</v>
      </c>
      <c r="AZ85" t="s">
        <v>55</v>
      </c>
      <c r="BA85">
        <v>1035249</v>
      </c>
    </row>
    <row r="86" spans="1:53" x14ac:dyDescent="0.2">
      <c r="A86" t="s">
        <v>108</v>
      </c>
      <c r="B86" t="s">
        <v>54</v>
      </c>
      <c r="C86">
        <v>98667164</v>
      </c>
      <c r="K86">
        <v>1</v>
      </c>
      <c r="AT86" t="s">
        <v>113</v>
      </c>
      <c r="AU86" t="s">
        <v>203</v>
      </c>
      <c r="AV86" t="s">
        <v>54</v>
      </c>
      <c r="AW86">
        <v>97467656</v>
      </c>
      <c r="AX86">
        <v>97631664</v>
      </c>
      <c r="AY86" t="str">
        <f>HYPERLINK("http://genome.ucsc.edu/cgi-bin/hgTracks?clade=vertebrate&amp;org=Human&amp;db=hg19&amp;position=chr2:98637164-98697164")</f>
        <v>http://genome.ucsc.edu/cgi-bin/hgTracks?clade=vertebrate&amp;org=Human&amp;db=hg19&amp;position=chr2:98637164-98697164</v>
      </c>
      <c r="AZ86" t="s">
        <v>55</v>
      </c>
      <c r="BA86">
        <v>1035500</v>
      </c>
    </row>
    <row r="87" spans="1:53" x14ac:dyDescent="0.2">
      <c r="A87" t="s">
        <v>108</v>
      </c>
      <c r="B87" t="s">
        <v>46</v>
      </c>
      <c r="C87">
        <v>98667286</v>
      </c>
      <c r="G87">
        <v>2</v>
      </c>
      <c r="AT87" t="s">
        <v>113</v>
      </c>
      <c r="AU87" t="s">
        <v>203</v>
      </c>
      <c r="AV87" t="s">
        <v>54</v>
      </c>
      <c r="AW87">
        <v>97467656</v>
      </c>
      <c r="AX87">
        <v>97631664</v>
      </c>
      <c r="AY87" t="str">
        <f>HYPERLINK("http://genome.ucsc.edu/cgi-bin/hgTracks?clade=vertebrate&amp;org=Human&amp;db=hg19&amp;position=chr2:98637286-98697286")</f>
        <v>http://genome.ucsc.edu/cgi-bin/hgTracks?clade=vertebrate&amp;org=Human&amp;db=hg19&amp;position=chr2:98637286-98697286</v>
      </c>
      <c r="AZ87" t="s">
        <v>55</v>
      </c>
      <c r="BA87">
        <v>1035622</v>
      </c>
    </row>
    <row r="88" spans="1:53" x14ac:dyDescent="0.2">
      <c r="A88" t="s">
        <v>108</v>
      </c>
      <c r="B88" t="s">
        <v>46</v>
      </c>
      <c r="C88">
        <v>98667287</v>
      </c>
      <c r="G88">
        <v>121</v>
      </c>
      <c r="AT88" t="s">
        <v>113</v>
      </c>
      <c r="AU88" t="s">
        <v>203</v>
      </c>
      <c r="AV88" t="s">
        <v>54</v>
      </c>
      <c r="AW88">
        <v>97467656</v>
      </c>
      <c r="AX88">
        <v>97631664</v>
      </c>
      <c r="AY88" t="str">
        <f>HYPERLINK("http://genome.ucsc.edu/cgi-bin/hgTracks?clade=vertebrate&amp;org=Human&amp;db=hg19&amp;position=chr2:98637287-98697287")</f>
        <v>http://genome.ucsc.edu/cgi-bin/hgTracks?clade=vertebrate&amp;org=Human&amp;db=hg19&amp;position=chr2:98637287-98697287</v>
      </c>
      <c r="AZ88" t="s">
        <v>55</v>
      </c>
      <c r="BA88">
        <v>1035623</v>
      </c>
    </row>
    <row r="89" spans="1:53" x14ac:dyDescent="0.2">
      <c r="A89" t="s">
        <v>108</v>
      </c>
      <c r="B89" t="s">
        <v>54</v>
      </c>
      <c r="C89">
        <v>110142078</v>
      </c>
      <c r="G89">
        <v>5</v>
      </c>
      <c r="AT89" t="s">
        <v>115</v>
      </c>
      <c r="AU89" t="s">
        <v>116</v>
      </c>
      <c r="AV89" t="s">
        <v>46</v>
      </c>
      <c r="AW89">
        <v>110031249</v>
      </c>
      <c r="AX89">
        <v>110050479</v>
      </c>
      <c r="AY89" t="str">
        <f>HYPERLINK("http://genome.ucsc.edu/cgi-bin/hgTracks?clade=vertebrate&amp;org=Human&amp;db=hg19&amp;position=chr2:110112078-110172078")</f>
        <v>http://genome.ucsc.edu/cgi-bin/hgTracks?clade=vertebrate&amp;org=Human&amp;db=hg19&amp;position=chr2:110112078-110172078</v>
      </c>
      <c r="AZ89" t="s">
        <v>55</v>
      </c>
      <c r="BA89">
        <v>91599</v>
      </c>
    </row>
    <row r="90" spans="1:53" x14ac:dyDescent="0.2">
      <c r="A90" t="s">
        <v>108</v>
      </c>
      <c r="B90" t="s">
        <v>54</v>
      </c>
      <c r="C90">
        <v>110142079</v>
      </c>
      <c r="G90">
        <v>1206</v>
      </c>
      <c r="AT90" t="s">
        <v>115</v>
      </c>
      <c r="AU90" t="s">
        <v>116</v>
      </c>
      <c r="AV90" t="s">
        <v>46</v>
      </c>
      <c r="AW90">
        <v>110031249</v>
      </c>
      <c r="AX90">
        <v>110050479</v>
      </c>
      <c r="AY90" t="str">
        <f>HYPERLINK("http://genome.ucsc.edu/cgi-bin/hgTracks?clade=vertebrate&amp;org=Human&amp;db=hg19&amp;position=chr2:110112079-110172079")</f>
        <v>http://genome.ucsc.edu/cgi-bin/hgTracks?clade=vertebrate&amp;org=Human&amp;db=hg19&amp;position=chr2:110112079-110172079</v>
      </c>
      <c r="AZ90" t="s">
        <v>55</v>
      </c>
      <c r="BA90">
        <v>91600</v>
      </c>
    </row>
    <row r="91" spans="1:53" x14ac:dyDescent="0.2">
      <c r="A91" t="s">
        <v>108</v>
      </c>
      <c r="B91" t="s">
        <v>54</v>
      </c>
      <c r="C91">
        <v>154805268</v>
      </c>
      <c r="F91">
        <v>3353</v>
      </c>
      <c r="AT91" t="s">
        <v>119</v>
      </c>
      <c r="AU91" t="s">
        <v>120</v>
      </c>
      <c r="AV91" t="s">
        <v>54</v>
      </c>
      <c r="AW91">
        <v>154791109</v>
      </c>
      <c r="AX91">
        <v>154867261</v>
      </c>
      <c r="AY91" t="str">
        <f>HYPERLINK("http://genome.ucsc.edu/cgi-bin/hgTracks?clade=vertebrate&amp;org=Human&amp;db=hg19&amp;position=chr2:154775268-154835268")</f>
        <v>http://genome.ucsc.edu/cgi-bin/hgTracks?clade=vertebrate&amp;org=Human&amp;db=hg19&amp;position=chr2:154775268-154835268</v>
      </c>
      <c r="AZ91" t="s">
        <v>49</v>
      </c>
      <c r="BA91" t="s">
        <v>50</v>
      </c>
    </row>
    <row r="92" spans="1:53" x14ac:dyDescent="0.2">
      <c r="A92" t="s">
        <v>125</v>
      </c>
      <c r="B92" t="s">
        <v>46</v>
      </c>
      <c r="C92">
        <v>4812619</v>
      </c>
      <c r="G92">
        <v>1</v>
      </c>
      <c r="AB92">
        <v>9389</v>
      </c>
      <c r="AT92" t="s">
        <v>126</v>
      </c>
      <c r="AU92" t="s">
        <v>127</v>
      </c>
      <c r="AV92" t="s">
        <v>54</v>
      </c>
      <c r="AW92">
        <v>4798707</v>
      </c>
      <c r="AX92">
        <v>4814911</v>
      </c>
      <c r="AY92" t="str">
        <f>HYPERLINK("http://genome.ucsc.edu/cgi-bin/hgTracks?clade=vertebrate&amp;org=Human&amp;db=hg19&amp;position=chr3:4782619-4842619")</f>
        <v>http://genome.ucsc.edu/cgi-bin/hgTracks?clade=vertebrate&amp;org=Human&amp;db=hg19&amp;position=chr3:4782619-4842619</v>
      </c>
      <c r="AZ92" t="s">
        <v>49</v>
      </c>
      <c r="BA92" t="s">
        <v>50</v>
      </c>
    </row>
    <row r="93" spans="1:53" x14ac:dyDescent="0.2">
      <c r="A93" t="s">
        <v>125</v>
      </c>
      <c r="B93" t="s">
        <v>46</v>
      </c>
      <c r="C93">
        <v>42169334</v>
      </c>
      <c r="F93">
        <v>2</v>
      </c>
      <c r="AT93" t="s">
        <v>204</v>
      </c>
      <c r="AU93" t="s">
        <v>205</v>
      </c>
      <c r="AV93" t="s">
        <v>54</v>
      </c>
      <c r="AW93">
        <v>41742614</v>
      </c>
      <c r="AX93">
        <v>41758941</v>
      </c>
      <c r="AY93" t="str">
        <f>HYPERLINK("http://genome.ucsc.edu/cgi-bin/hgTracks?clade=vertebrate&amp;org=Human&amp;db=hg19&amp;position=chr3:42139334-42199334")</f>
        <v>http://genome.ucsc.edu/cgi-bin/hgTracks?clade=vertebrate&amp;org=Human&amp;db=hg19&amp;position=chr3:42139334-42199334</v>
      </c>
      <c r="AZ93" t="s">
        <v>55</v>
      </c>
      <c r="BA93">
        <v>410393</v>
      </c>
    </row>
    <row r="94" spans="1:53" x14ac:dyDescent="0.2">
      <c r="A94" t="s">
        <v>125</v>
      </c>
      <c r="B94" t="s">
        <v>54</v>
      </c>
      <c r="C94">
        <v>69010665</v>
      </c>
      <c r="R94">
        <v>1</v>
      </c>
      <c r="AT94" t="s">
        <v>128</v>
      </c>
      <c r="AU94" t="s">
        <v>129</v>
      </c>
      <c r="AV94" t="s">
        <v>54</v>
      </c>
      <c r="AW94">
        <v>69004971</v>
      </c>
      <c r="AX94">
        <v>69034623</v>
      </c>
      <c r="AY94" t="str">
        <f>HYPERLINK("http://genome.ucsc.edu/cgi-bin/hgTracks?clade=vertebrate&amp;org=Human&amp;db=hg19&amp;position=chr3:68980665-69040665")</f>
        <v>http://genome.ucsc.edu/cgi-bin/hgTracks?clade=vertebrate&amp;org=Human&amp;db=hg19&amp;position=chr3:68980665-69040665</v>
      </c>
      <c r="AZ94" t="s">
        <v>49</v>
      </c>
      <c r="BA94" t="s">
        <v>50</v>
      </c>
    </row>
    <row r="95" spans="1:53" x14ac:dyDescent="0.2">
      <c r="A95" t="s">
        <v>125</v>
      </c>
      <c r="B95" t="s">
        <v>54</v>
      </c>
      <c r="C95">
        <v>99336712</v>
      </c>
      <c r="S95">
        <v>1</v>
      </c>
      <c r="AT95" t="s">
        <v>174</v>
      </c>
      <c r="AU95" t="s">
        <v>175</v>
      </c>
      <c r="AV95" t="s">
        <v>54</v>
      </c>
      <c r="AW95">
        <v>99253759</v>
      </c>
      <c r="AX95">
        <v>99354260</v>
      </c>
      <c r="AY95" t="str">
        <f>HYPERLINK("http://genome.ucsc.edu/cgi-bin/hgTracks?clade=vertebrate&amp;org=Human&amp;db=hg19&amp;position=chr3:99306712-99366712")</f>
        <v>http://genome.ucsc.edu/cgi-bin/hgTracks?clade=vertebrate&amp;org=Human&amp;db=hg19&amp;position=chr3:99306712-99366712</v>
      </c>
      <c r="AZ95" t="s">
        <v>49</v>
      </c>
      <c r="BA95" t="s">
        <v>50</v>
      </c>
    </row>
    <row r="96" spans="1:53" x14ac:dyDescent="0.2">
      <c r="A96" t="s">
        <v>134</v>
      </c>
      <c r="B96" t="s">
        <v>46</v>
      </c>
      <c r="C96">
        <v>17993922</v>
      </c>
      <c r="G96">
        <v>1678</v>
      </c>
      <c r="AT96" t="s">
        <v>135</v>
      </c>
      <c r="AU96" t="s">
        <v>136</v>
      </c>
      <c r="AV96" t="s">
        <v>54</v>
      </c>
      <c r="AW96">
        <v>17853481</v>
      </c>
      <c r="AX96">
        <v>18118734</v>
      </c>
      <c r="AY96" t="str">
        <f>HYPERLINK("http://genome.ucsc.edu/cgi-bin/hgTracks?clade=vertebrate&amp;org=Human&amp;db=hg19&amp;position=chr4:17963922-18023922")</f>
        <v>http://genome.ucsc.edu/cgi-bin/hgTracks?clade=vertebrate&amp;org=Human&amp;db=hg19&amp;position=chr4:17963922-18023922</v>
      </c>
      <c r="AZ96" t="s">
        <v>49</v>
      </c>
      <c r="BA96" t="s">
        <v>50</v>
      </c>
    </row>
    <row r="97" spans="1:53" x14ac:dyDescent="0.2">
      <c r="A97" t="s">
        <v>141</v>
      </c>
      <c r="B97" t="s">
        <v>54</v>
      </c>
      <c r="C97">
        <v>13063043</v>
      </c>
      <c r="G97">
        <v>1490</v>
      </c>
      <c r="AT97" t="s">
        <v>142</v>
      </c>
      <c r="AU97" t="s">
        <v>143</v>
      </c>
      <c r="AV97" t="s">
        <v>54</v>
      </c>
      <c r="AW97">
        <v>13396783</v>
      </c>
      <c r="AX97">
        <v>13603485</v>
      </c>
      <c r="AY97" t="str">
        <f>HYPERLINK("http://genome.ucsc.edu/cgi-bin/hgTracks?clade=vertebrate&amp;org=Human&amp;db=hg19&amp;position=chr5:13033043-13093043")</f>
        <v>http://genome.ucsc.edu/cgi-bin/hgTracks?clade=vertebrate&amp;org=Human&amp;db=hg19&amp;position=chr5:13033043-13093043</v>
      </c>
      <c r="AZ97" t="s">
        <v>55</v>
      </c>
      <c r="BA97">
        <v>333740</v>
      </c>
    </row>
    <row r="98" spans="1:53" x14ac:dyDescent="0.2">
      <c r="A98" t="s">
        <v>141</v>
      </c>
      <c r="B98" t="s">
        <v>46</v>
      </c>
      <c r="C98">
        <v>52859818</v>
      </c>
      <c r="G98">
        <v>9</v>
      </c>
      <c r="AT98" t="s">
        <v>208</v>
      </c>
      <c r="AU98" t="s">
        <v>209</v>
      </c>
      <c r="AV98" t="s">
        <v>54</v>
      </c>
      <c r="AW98">
        <v>52834134</v>
      </c>
      <c r="AX98">
        <v>52866734</v>
      </c>
      <c r="AY98" t="str">
        <f>HYPERLINK("http://genome.ucsc.edu/cgi-bin/hgTracks?clade=vertebrate&amp;org=Human&amp;db=hg19&amp;position=chr5:52829818-52889818")</f>
        <v>http://genome.ucsc.edu/cgi-bin/hgTracks?clade=vertebrate&amp;org=Human&amp;db=hg19&amp;position=chr5:52829818-52889818</v>
      </c>
      <c r="AZ98" t="s">
        <v>49</v>
      </c>
      <c r="BA98" t="s">
        <v>50</v>
      </c>
    </row>
    <row r="99" spans="1:53" x14ac:dyDescent="0.2">
      <c r="A99" t="s">
        <v>141</v>
      </c>
      <c r="B99" t="s">
        <v>54</v>
      </c>
      <c r="C99">
        <v>52860051</v>
      </c>
      <c r="G99">
        <v>26</v>
      </c>
      <c r="AT99" t="s">
        <v>208</v>
      </c>
      <c r="AU99" t="s">
        <v>209</v>
      </c>
      <c r="AV99" t="s">
        <v>54</v>
      </c>
      <c r="AW99">
        <v>52834134</v>
      </c>
      <c r="AX99">
        <v>52866734</v>
      </c>
      <c r="AY99" t="str">
        <f>HYPERLINK("http://genome.ucsc.edu/cgi-bin/hgTracks?clade=vertebrate&amp;org=Human&amp;db=hg19&amp;position=chr5:52830051-52890051")</f>
        <v>http://genome.ucsc.edu/cgi-bin/hgTracks?clade=vertebrate&amp;org=Human&amp;db=hg19&amp;position=chr5:52830051-52890051</v>
      </c>
      <c r="AZ99" t="s">
        <v>49</v>
      </c>
      <c r="BA99" t="s">
        <v>50</v>
      </c>
    </row>
    <row r="100" spans="1:53" x14ac:dyDescent="0.2">
      <c r="A100" t="s">
        <v>141</v>
      </c>
      <c r="B100" t="s">
        <v>54</v>
      </c>
      <c r="C100">
        <v>100041647</v>
      </c>
      <c r="G100">
        <v>754</v>
      </c>
      <c r="AT100" t="s">
        <v>144</v>
      </c>
      <c r="AU100" t="s">
        <v>145</v>
      </c>
      <c r="AV100" t="s">
        <v>54</v>
      </c>
      <c r="AW100">
        <v>100039993</v>
      </c>
      <c r="AX100">
        <v>100068765</v>
      </c>
      <c r="AY100" t="str">
        <f>HYPERLINK("http://genome.ucsc.edu/cgi-bin/hgTracks?clade=vertebrate&amp;org=Human&amp;db=hg19&amp;position=chr5:100011647-100071647")</f>
        <v>http://genome.ucsc.edu/cgi-bin/hgTracks?clade=vertebrate&amp;org=Human&amp;db=hg19&amp;position=chr5:100011647-100071647</v>
      </c>
      <c r="AZ100" t="s">
        <v>49</v>
      </c>
      <c r="BA100" t="s">
        <v>50</v>
      </c>
    </row>
    <row r="101" spans="1:53" x14ac:dyDescent="0.2">
      <c r="A101" t="s">
        <v>141</v>
      </c>
      <c r="B101" t="s">
        <v>54</v>
      </c>
      <c r="C101">
        <v>131207608</v>
      </c>
      <c r="N101">
        <v>34</v>
      </c>
      <c r="AT101" t="s">
        <v>210</v>
      </c>
      <c r="AU101" t="s">
        <v>211</v>
      </c>
      <c r="AV101" t="s">
        <v>46</v>
      </c>
      <c r="AW101">
        <v>130874950</v>
      </c>
      <c r="AX101">
        <v>131307522</v>
      </c>
      <c r="AY101" t="str">
        <f>HYPERLINK("http://genome.ucsc.edu/cgi-bin/hgTracks?clade=vertebrate&amp;org=Human&amp;db=hg19&amp;position=chr5:131177608-131237608")</f>
        <v>http://genome.ucsc.edu/cgi-bin/hgTracks?clade=vertebrate&amp;org=Human&amp;db=hg19&amp;position=chr5:131177608-131237608</v>
      </c>
      <c r="AZ101" t="s">
        <v>49</v>
      </c>
      <c r="BA101" t="s">
        <v>50</v>
      </c>
    </row>
    <row r="102" spans="1:53" x14ac:dyDescent="0.2">
      <c r="A102" t="s">
        <v>141</v>
      </c>
      <c r="B102" t="s">
        <v>54</v>
      </c>
      <c r="C102">
        <v>143590049</v>
      </c>
      <c r="I102">
        <v>1</v>
      </c>
      <c r="K102">
        <v>3</v>
      </c>
      <c r="S102">
        <v>2</v>
      </c>
      <c r="X102">
        <v>3</v>
      </c>
      <c r="AT102" t="s">
        <v>212</v>
      </c>
      <c r="AU102" t="s">
        <v>213</v>
      </c>
      <c r="AV102" t="s">
        <v>54</v>
      </c>
      <c r="AW102">
        <v>143548705</v>
      </c>
      <c r="AX102">
        <v>143564525</v>
      </c>
      <c r="AY102" t="str">
        <f>HYPERLINK("http://genome.ucsc.edu/cgi-bin/hgTracks?clade=vertebrate&amp;org=Human&amp;db=hg19&amp;position=chr5:143560049-143620049")</f>
        <v>http://genome.ucsc.edu/cgi-bin/hgTracks?clade=vertebrate&amp;org=Human&amp;db=hg19&amp;position=chr5:143560049-143620049</v>
      </c>
      <c r="AZ102" t="s">
        <v>55</v>
      </c>
      <c r="BA102">
        <v>25524</v>
      </c>
    </row>
    <row r="103" spans="1:53" x14ac:dyDescent="0.2">
      <c r="A103" t="s">
        <v>141</v>
      </c>
      <c r="B103" t="s">
        <v>46</v>
      </c>
      <c r="C103">
        <v>147509826</v>
      </c>
      <c r="K103">
        <v>42</v>
      </c>
      <c r="AT103" t="s">
        <v>148</v>
      </c>
      <c r="AU103" t="s">
        <v>149</v>
      </c>
      <c r="AV103" t="s">
        <v>54</v>
      </c>
      <c r="AW103">
        <v>147430579</v>
      </c>
      <c r="AX103">
        <v>147548501</v>
      </c>
      <c r="AY103" t="str">
        <f>HYPERLINK("http://genome.ucsc.edu/cgi-bin/hgTracks?clade=vertebrate&amp;org=Human&amp;db=hg19&amp;position=chr5:147479826-147539826")</f>
        <v>http://genome.ucsc.edu/cgi-bin/hgTracks?clade=vertebrate&amp;org=Human&amp;db=hg19&amp;position=chr5:147479826-147539826</v>
      </c>
      <c r="AZ103" t="s">
        <v>49</v>
      </c>
      <c r="BA103" t="s">
        <v>50</v>
      </c>
    </row>
    <row r="104" spans="1:53" x14ac:dyDescent="0.2">
      <c r="A104" t="s">
        <v>141</v>
      </c>
      <c r="B104" t="s">
        <v>54</v>
      </c>
      <c r="C104">
        <v>147510197</v>
      </c>
      <c r="K104">
        <v>1</v>
      </c>
      <c r="AT104" t="s">
        <v>148</v>
      </c>
      <c r="AU104" t="s">
        <v>149</v>
      </c>
      <c r="AV104" t="s">
        <v>54</v>
      </c>
      <c r="AW104">
        <v>147430579</v>
      </c>
      <c r="AX104">
        <v>147548501</v>
      </c>
      <c r="AY104" t="str">
        <f>HYPERLINK("http://genome.ucsc.edu/cgi-bin/hgTracks?clade=vertebrate&amp;org=Human&amp;db=hg19&amp;position=chr5:147480197-147540197")</f>
        <v>http://genome.ucsc.edu/cgi-bin/hgTracks?clade=vertebrate&amp;org=Human&amp;db=hg19&amp;position=chr5:147480197-147540197</v>
      </c>
      <c r="AZ104" t="s">
        <v>49</v>
      </c>
      <c r="BA104" t="s">
        <v>50</v>
      </c>
    </row>
    <row r="105" spans="1:53" x14ac:dyDescent="0.2">
      <c r="A105" t="s">
        <v>141</v>
      </c>
      <c r="B105" t="s">
        <v>54</v>
      </c>
      <c r="C105">
        <v>147510200</v>
      </c>
      <c r="I105">
        <v>3831</v>
      </c>
      <c r="K105">
        <v>3553</v>
      </c>
      <c r="S105">
        <v>3157</v>
      </c>
      <c r="X105">
        <v>4385</v>
      </c>
      <c r="AT105" t="s">
        <v>148</v>
      </c>
      <c r="AU105" t="s">
        <v>149</v>
      </c>
      <c r="AV105" t="s">
        <v>54</v>
      </c>
      <c r="AW105">
        <v>147430579</v>
      </c>
      <c r="AX105">
        <v>147548501</v>
      </c>
      <c r="AY105" t="str">
        <f>HYPERLINK("http://genome.ucsc.edu/cgi-bin/hgTracks?clade=vertebrate&amp;org=Human&amp;db=hg19&amp;position=chr5:147480200-147540200")</f>
        <v>http://genome.ucsc.edu/cgi-bin/hgTracks?clade=vertebrate&amp;org=Human&amp;db=hg19&amp;position=chr5:147480200-147540200</v>
      </c>
      <c r="AZ105" t="s">
        <v>49</v>
      </c>
      <c r="BA105" t="s">
        <v>50</v>
      </c>
    </row>
    <row r="106" spans="1:53" x14ac:dyDescent="0.2">
      <c r="A106" t="s">
        <v>141</v>
      </c>
      <c r="B106" t="s">
        <v>54</v>
      </c>
      <c r="C106">
        <v>147510202</v>
      </c>
      <c r="X106">
        <v>1</v>
      </c>
      <c r="AT106" t="s">
        <v>148</v>
      </c>
      <c r="AU106" t="s">
        <v>149</v>
      </c>
      <c r="AV106" t="s">
        <v>54</v>
      </c>
      <c r="AW106">
        <v>147430579</v>
      </c>
      <c r="AX106">
        <v>147548501</v>
      </c>
      <c r="AY106" t="str">
        <f>HYPERLINK("http://genome.ucsc.edu/cgi-bin/hgTracks?clade=vertebrate&amp;org=Human&amp;db=hg19&amp;position=chr5:147480202-147540202")</f>
        <v>http://genome.ucsc.edu/cgi-bin/hgTracks?clade=vertebrate&amp;org=Human&amp;db=hg19&amp;position=chr5:147480202-147540202</v>
      </c>
      <c r="AZ106" t="s">
        <v>49</v>
      </c>
      <c r="BA106" t="s">
        <v>50</v>
      </c>
    </row>
    <row r="107" spans="1:53" x14ac:dyDescent="0.2">
      <c r="A107" t="s">
        <v>141</v>
      </c>
      <c r="B107" t="s">
        <v>54</v>
      </c>
      <c r="C107">
        <v>147510203</v>
      </c>
      <c r="K107">
        <v>2</v>
      </c>
      <c r="AT107" t="s">
        <v>148</v>
      </c>
      <c r="AU107" t="s">
        <v>149</v>
      </c>
      <c r="AV107" t="s">
        <v>54</v>
      </c>
      <c r="AW107">
        <v>147430579</v>
      </c>
      <c r="AX107">
        <v>147548501</v>
      </c>
      <c r="AY107" t="str">
        <f>HYPERLINK("http://genome.ucsc.edu/cgi-bin/hgTracks?clade=vertebrate&amp;org=Human&amp;db=hg19&amp;position=chr5:147480203-147540203")</f>
        <v>http://genome.ucsc.edu/cgi-bin/hgTracks?clade=vertebrate&amp;org=Human&amp;db=hg19&amp;position=chr5:147480203-147540203</v>
      </c>
      <c r="AZ107" t="s">
        <v>49</v>
      </c>
      <c r="BA107" t="s">
        <v>50</v>
      </c>
    </row>
    <row r="108" spans="1:53" x14ac:dyDescent="0.2">
      <c r="A108" t="s">
        <v>141</v>
      </c>
      <c r="B108" t="s">
        <v>46</v>
      </c>
      <c r="C108">
        <v>147510313</v>
      </c>
      <c r="K108">
        <v>21</v>
      </c>
      <c r="AT108" t="s">
        <v>148</v>
      </c>
      <c r="AU108" t="s">
        <v>149</v>
      </c>
      <c r="AV108" t="s">
        <v>54</v>
      </c>
      <c r="AW108">
        <v>147430579</v>
      </c>
      <c r="AX108">
        <v>147548501</v>
      </c>
      <c r="AY108" t="str">
        <f>HYPERLINK("http://genome.ucsc.edu/cgi-bin/hgTracks?clade=vertebrate&amp;org=Human&amp;db=hg19&amp;position=chr5:147480313-147540313")</f>
        <v>http://genome.ucsc.edu/cgi-bin/hgTracks?clade=vertebrate&amp;org=Human&amp;db=hg19&amp;position=chr5:147480313-147540313</v>
      </c>
      <c r="AZ108" t="s">
        <v>49</v>
      </c>
      <c r="BA108" t="s">
        <v>50</v>
      </c>
    </row>
    <row r="109" spans="1:53" x14ac:dyDescent="0.2">
      <c r="A109" t="s">
        <v>150</v>
      </c>
      <c r="B109" t="s">
        <v>46</v>
      </c>
      <c r="C109">
        <v>56716752</v>
      </c>
      <c r="M109">
        <v>1</v>
      </c>
      <c r="AH109">
        <v>5422</v>
      </c>
      <c r="AT109" t="s">
        <v>151</v>
      </c>
      <c r="AU109" t="s">
        <v>152</v>
      </c>
      <c r="AV109" t="s">
        <v>54</v>
      </c>
      <c r="AW109">
        <v>56714904</v>
      </c>
      <c r="AX109">
        <v>56761911</v>
      </c>
      <c r="AY109" t="str">
        <f>HYPERLINK("http://genome.ucsc.edu/cgi-bin/hgTracks?clade=vertebrate&amp;org=Human&amp;db=hg19&amp;position=chr6:56686752-56746752")</f>
        <v>http://genome.ucsc.edu/cgi-bin/hgTracks?clade=vertebrate&amp;org=Human&amp;db=hg19&amp;position=chr6:56686752-56746752</v>
      </c>
      <c r="AZ109" t="s">
        <v>49</v>
      </c>
      <c r="BA109" t="s">
        <v>50</v>
      </c>
    </row>
    <row r="110" spans="1:53" x14ac:dyDescent="0.2">
      <c r="A110" t="s">
        <v>150</v>
      </c>
      <c r="B110" t="s">
        <v>54</v>
      </c>
      <c r="C110">
        <v>89096270</v>
      </c>
      <c r="V110">
        <v>2</v>
      </c>
      <c r="AT110" t="s">
        <v>153</v>
      </c>
      <c r="AU110" t="s">
        <v>154</v>
      </c>
      <c r="AV110" t="s">
        <v>54</v>
      </c>
      <c r="AW110">
        <v>89096114</v>
      </c>
      <c r="AX110">
        <v>89110037</v>
      </c>
      <c r="AY110" t="str">
        <f>HYPERLINK("http://genome.ucsc.edu/cgi-bin/hgTracks?clade=vertebrate&amp;org=Human&amp;db=hg19&amp;position=chr6:89066270-89126270")</f>
        <v>http://genome.ucsc.edu/cgi-bin/hgTracks?clade=vertebrate&amp;org=Human&amp;db=hg19&amp;position=chr6:89066270-89126270</v>
      </c>
      <c r="AZ110" t="s">
        <v>49</v>
      </c>
      <c r="BA110" t="s">
        <v>50</v>
      </c>
    </row>
    <row r="111" spans="1:53" x14ac:dyDescent="0.2">
      <c r="A111" t="s">
        <v>155</v>
      </c>
      <c r="B111" t="s">
        <v>54</v>
      </c>
      <c r="C111">
        <v>47731229</v>
      </c>
      <c r="G111">
        <v>1</v>
      </c>
      <c r="AT111" t="s">
        <v>214</v>
      </c>
      <c r="AU111" t="s">
        <v>215</v>
      </c>
      <c r="AV111" t="s">
        <v>46</v>
      </c>
      <c r="AW111">
        <v>47588949</v>
      </c>
      <c r="AX111">
        <v>47601372</v>
      </c>
      <c r="AY111" t="str">
        <f>HYPERLINK("http://genome.ucsc.edu/cgi-bin/hgTracks?clade=vertebrate&amp;org=Human&amp;db=hg19&amp;position=chr7:47701229-47761229")</f>
        <v>http://genome.ucsc.edu/cgi-bin/hgTracks?clade=vertebrate&amp;org=Human&amp;db=hg19&amp;position=chr7:47701229-47761229</v>
      </c>
      <c r="AZ111" t="s">
        <v>55</v>
      </c>
      <c r="BA111">
        <v>129857</v>
      </c>
    </row>
    <row r="112" spans="1:53" x14ac:dyDescent="0.2">
      <c r="A112" t="s">
        <v>155</v>
      </c>
      <c r="B112" t="s">
        <v>54</v>
      </c>
      <c r="C112">
        <v>47821581</v>
      </c>
      <c r="G112">
        <v>11</v>
      </c>
      <c r="AT112" t="s">
        <v>216</v>
      </c>
      <c r="AU112" t="s">
        <v>217</v>
      </c>
      <c r="AV112" t="s">
        <v>46</v>
      </c>
      <c r="AW112">
        <v>47980793</v>
      </c>
      <c r="AX112">
        <v>47982296</v>
      </c>
      <c r="AY112" t="str">
        <f>HYPERLINK("http://genome.ucsc.edu/cgi-bin/hgTracks?clade=vertebrate&amp;org=Human&amp;db=hg19&amp;position=chr7:47791581-47851581")</f>
        <v>http://genome.ucsc.edu/cgi-bin/hgTracks?clade=vertebrate&amp;org=Human&amp;db=hg19&amp;position=chr7:47791581-47851581</v>
      </c>
      <c r="AZ112" t="s">
        <v>55</v>
      </c>
      <c r="BA112">
        <v>159212</v>
      </c>
    </row>
    <row r="113" spans="1:53" x14ac:dyDescent="0.2">
      <c r="A113" t="s">
        <v>155</v>
      </c>
      <c r="B113" t="s">
        <v>54</v>
      </c>
      <c r="C113">
        <v>47979015</v>
      </c>
      <c r="G113">
        <v>113</v>
      </c>
      <c r="AT113" t="s">
        <v>216</v>
      </c>
      <c r="AU113" t="s">
        <v>217</v>
      </c>
      <c r="AV113" t="s">
        <v>46</v>
      </c>
      <c r="AW113">
        <v>47980793</v>
      </c>
      <c r="AX113">
        <v>47982296</v>
      </c>
      <c r="AY113" t="str">
        <f>HYPERLINK("http://genome.ucsc.edu/cgi-bin/hgTracks?clade=vertebrate&amp;org=Human&amp;db=hg19&amp;position=chr7:47949015-48009015")</f>
        <v>http://genome.ucsc.edu/cgi-bin/hgTracks?clade=vertebrate&amp;org=Human&amp;db=hg19&amp;position=chr7:47949015-48009015</v>
      </c>
      <c r="AZ113" t="s">
        <v>55</v>
      </c>
      <c r="BA113">
        <v>1778</v>
      </c>
    </row>
    <row r="114" spans="1:53" x14ac:dyDescent="0.2">
      <c r="A114" t="s">
        <v>155</v>
      </c>
      <c r="B114" t="s">
        <v>46</v>
      </c>
      <c r="C114">
        <v>81401462</v>
      </c>
      <c r="F114">
        <v>3597</v>
      </c>
      <c r="AT114" t="s">
        <v>156</v>
      </c>
      <c r="AU114" t="s">
        <v>157</v>
      </c>
      <c r="AV114" t="s">
        <v>46</v>
      </c>
      <c r="AW114">
        <v>81347025</v>
      </c>
      <c r="AX114">
        <v>81454758</v>
      </c>
      <c r="AY114" t="str">
        <f>HYPERLINK("http://genome.ucsc.edu/cgi-bin/hgTracks?clade=vertebrate&amp;org=Human&amp;db=hg19&amp;position=chr7:81371462-81431462")</f>
        <v>http://genome.ucsc.edu/cgi-bin/hgTracks?clade=vertebrate&amp;org=Human&amp;db=hg19&amp;position=chr7:81371462-81431462</v>
      </c>
      <c r="AZ114" t="s">
        <v>49</v>
      </c>
      <c r="BA114" t="s">
        <v>50</v>
      </c>
    </row>
    <row r="115" spans="1:53" x14ac:dyDescent="0.2">
      <c r="A115" t="s">
        <v>155</v>
      </c>
      <c r="B115" t="s">
        <v>46</v>
      </c>
      <c r="C115">
        <v>81401463</v>
      </c>
      <c r="F115">
        <v>6</v>
      </c>
      <c r="AT115" t="s">
        <v>156</v>
      </c>
      <c r="AU115" t="s">
        <v>157</v>
      </c>
      <c r="AV115" t="s">
        <v>46</v>
      </c>
      <c r="AW115">
        <v>81347025</v>
      </c>
      <c r="AX115">
        <v>81454758</v>
      </c>
      <c r="AY115" t="str">
        <f>HYPERLINK("http://genome.ucsc.edu/cgi-bin/hgTracks?clade=vertebrate&amp;org=Human&amp;db=hg19&amp;position=chr7:81371463-81431463")</f>
        <v>http://genome.ucsc.edu/cgi-bin/hgTracks?clade=vertebrate&amp;org=Human&amp;db=hg19&amp;position=chr7:81371463-81431463</v>
      </c>
      <c r="AZ115" t="s">
        <v>49</v>
      </c>
      <c r="BA115" t="s">
        <v>50</v>
      </c>
    </row>
    <row r="116" spans="1:53" x14ac:dyDescent="0.2">
      <c r="A116" t="s">
        <v>155</v>
      </c>
      <c r="B116" t="s">
        <v>54</v>
      </c>
      <c r="C116">
        <v>87385093</v>
      </c>
      <c r="F116">
        <v>1</v>
      </c>
      <c r="AT116" t="s">
        <v>218</v>
      </c>
      <c r="AU116" t="s">
        <v>219</v>
      </c>
      <c r="AV116" t="s">
        <v>54</v>
      </c>
      <c r="AW116">
        <v>87246648</v>
      </c>
      <c r="AX116">
        <v>87398708</v>
      </c>
      <c r="AY116" t="str">
        <f>HYPERLINK("http://genome.ucsc.edu/cgi-bin/hgTracks?clade=vertebrate&amp;org=Human&amp;db=hg19&amp;position=chr7:87355093-87415093")</f>
        <v>http://genome.ucsc.edu/cgi-bin/hgTracks?clade=vertebrate&amp;org=Human&amp;db=hg19&amp;position=chr7:87355093-87415093</v>
      </c>
      <c r="AZ116" t="s">
        <v>49</v>
      </c>
      <c r="BA116" t="s">
        <v>50</v>
      </c>
    </row>
    <row r="117" spans="1:53" x14ac:dyDescent="0.2">
      <c r="A117" t="s">
        <v>155</v>
      </c>
      <c r="B117" t="s">
        <v>54</v>
      </c>
      <c r="C117">
        <v>110041988</v>
      </c>
      <c r="AB117">
        <v>7</v>
      </c>
      <c r="AT117" t="s">
        <v>162</v>
      </c>
      <c r="AU117" t="s">
        <v>163</v>
      </c>
      <c r="AV117" t="s">
        <v>54</v>
      </c>
      <c r="AW117">
        <v>110018424</v>
      </c>
      <c r="AX117">
        <v>110055114</v>
      </c>
      <c r="AY117" t="str">
        <f>HYPERLINK("http://genome.ucsc.edu/cgi-bin/hgTracks?clade=vertebrate&amp;org=Human&amp;db=hg19&amp;position=chr7:110011988-110071988")</f>
        <v>http://genome.ucsc.edu/cgi-bin/hgTracks?clade=vertebrate&amp;org=Human&amp;db=hg19&amp;position=chr7:110011988-110071988</v>
      </c>
      <c r="AZ117" t="s">
        <v>49</v>
      </c>
      <c r="BA117" t="s">
        <v>107</v>
      </c>
    </row>
    <row r="118" spans="1:53" x14ac:dyDescent="0.2">
      <c r="A118" t="s">
        <v>155</v>
      </c>
      <c r="B118" t="s">
        <v>54</v>
      </c>
      <c r="C118">
        <v>110041989</v>
      </c>
      <c r="AB118">
        <v>10677</v>
      </c>
      <c r="AT118" t="s">
        <v>162</v>
      </c>
      <c r="AU118" t="s">
        <v>163</v>
      </c>
      <c r="AV118" t="s">
        <v>54</v>
      </c>
      <c r="AW118">
        <v>110018424</v>
      </c>
      <c r="AX118">
        <v>110055114</v>
      </c>
      <c r="AY118" t="str">
        <f>HYPERLINK("http://genome.ucsc.edu/cgi-bin/hgTracks?clade=vertebrate&amp;org=Human&amp;db=hg19&amp;position=chr7:110011989-110071989")</f>
        <v>http://genome.ucsc.edu/cgi-bin/hgTracks?clade=vertebrate&amp;org=Human&amp;db=hg19&amp;position=chr7:110011989-110071989</v>
      </c>
      <c r="AZ118" t="s">
        <v>49</v>
      </c>
      <c r="BA118" t="s">
        <v>107</v>
      </c>
    </row>
    <row r="119" spans="1:53" x14ac:dyDescent="0.2">
      <c r="A119" t="s">
        <v>164</v>
      </c>
      <c r="B119" t="s">
        <v>54</v>
      </c>
      <c r="C119">
        <v>7518154</v>
      </c>
      <c r="F119">
        <v>1</v>
      </c>
      <c r="AT119" t="s">
        <v>165</v>
      </c>
      <c r="AU119" t="s">
        <v>166</v>
      </c>
      <c r="AV119" t="s">
        <v>46</v>
      </c>
      <c r="AW119">
        <v>8617438</v>
      </c>
      <c r="AX119">
        <v>8660773</v>
      </c>
      <c r="AY119" t="str">
        <f>HYPERLINK("http://genome.ucsc.edu/cgi-bin/hgTracks?clade=vertebrate&amp;org=Human&amp;db=hg19&amp;position=chr8:7488154-7548154")</f>
        <v>http://genome.ucsc.edu/cgi-bin/hgTracks?clade=vertebrate&amp;org=Human&amp;db=hg19&amp;position=chr8:7488154-7548154</v>
      </c>
      <c r="AZ119" t="s">
        <v>55</v>
      </c>
      <c r="BA119">
        <v>1099284</v>
      </c>
    </row>
    <row r="120" spans="1:53" x14ac:dyDescent="0.2">
      <c r="A120" t="s">
        <v>176</v>
      </c>
      <c r="B120" t="s">
        <v>46</v>
      </c>
      <c r="C120">
        <v>3000384</v>
      </c>
      <c r="I120">
        <v>142</v>
      </c>
      <c r="K120">
        <v>89</v>
      </c>
      <c r="S120">
        <v>68</v>
      </c>
      <c r="X120">
        <v>202</v>
      </c>
      <c r="AT120" t="s">
        <v>220</v>
      </c>
      <c r="AU120" t="s">
        <v>221</v>
      </c>
      <c r="AV120" t="s">
        <v>46</v>
      </c>
      <c r="AW120">
        <v>3038668</v>
      </c>
      <c r="AX120">
        <v>3038743</v>
      </c>
      <c r="AY120" t="str">
        <f>HYPERLINK("http://genome.ucsc.edu/cgi-bin/hgTracks?clade=vertebrate&amp;org=Human&amp;db=hg19&amp;position=chr9:2970384-3030384")</f>
        <v>http://genome.ucsc.edu/cgi-bin/hgTracks?clade=vertebrate&amp;org=Human&amp;db=hg19&amp;position=chr9:2970384-3030384</v>
      </c>
      <c r="AZ120" t="s">
        <v>55</v>
      </c>
      <c r="BA120">
        <v>38284</v>
      </c>
    </row>
    <row r="121" spans="1:53" x14ac:dyDescent="0.2">
      <c r="A121" t="s">
        <v>176</v>
      </c>
      <c r="B121" t="s">
        <v>46</v>
      </c>
      <c r="C121">
        <v>3024150</v>
      </c>
      <c r="K121">
        <v>1</v>
      </c>
      <c r="AT121" t="s">
        <v>220</v>
      </c>
      <c r="AU121" t="s">
        <v>221</v>
      </c>
      <c r="AV121" t="s">
        <v>46</v>
      </c>
      <c r="AW121">
        <v>3038668</v>
      </c>
      <c r="AX121">
        <v>3038743</v>
      </c>
      <c r="AY121" t="str">
        <f>HYPERLINK("http://genome.ucsc.edu/cgi-bin/hgTracks?clade=vertebrate&amp;org=Human&amp;db=hg19&amp;position=chr9:2994150-3054150")</f>
        <v>http://genome.ucsc.edu/cgi-bin/hgTracks?clade=vertebrate&amp;org=Human&amp;db=hg19&amp;position=chr9:2994150-3054150</v>
      </c>
      <c r="AZ121" t="s">
        <v>55</v>
      </c>
      <c r="BA121">
        <v>14518</v>
      </c>
    </row>
    <row r="122" spans="1:53" x14ac:dyDescent="0.2">
      <c r="A122" t="s">
        <v>176</v>
      </c>
      <c r="B122" t="s">
        <v>46</v>
      </c>
      <c r="C122">
        <v>98855264</v>
      </c>
      <c r="X122">
        <v>1</v>
      </c>
      <c r="AT122" t="s">
        <v>222</v>
      </c>
      <c r="AU122" t="s">
        <v>223</v>
      </c>
      <c r="AV122" t="s">
        <v>54</v>
      </c>
      <c r="AW122">
        <v>98856590</v>
      </c>
      <c r="AX122">
        <v>98857352</v>
      </c>
      <c r="AY122" t="str">
        <f>HYPERLINK("http://genome.ucsc.edu/cgi-bin/hgTracks?clade=vertebrate&amp;org=Human&amp;db=hg19&amp;position=chr9:98825264-98885264")</f>
        <v>http://genome.ucsc.edu/cgi-bin/hgTracks?clade=vertebrate&amp;org=Human&amp;db=hg19&amp;position=chr9:98825264-98885264</v>
      </c>
      <c r="AZ122" t="s">
        <v>55</v>
      </c>
      <c r="BA122">
        <v>1326</v>
      </c>
    </row>
    <row r="123" spans="1:53" x14ac:dyDescent="0.2">
      <c r="A123" t="s">
        <v>167</v>
      </c>
      <c r="B123" t="s">
        <v>46</v>
      </c>
      <c r="C123">
        <v>56667159</v>
      </c>
      <c r="AG123">
        <v>14848</v>
      </c>
      <c r="AH123">
        <v>182</v>
      </c>
      <c r="AT123" t="s">
        <v>168</v>
      </c>
      <c r="AU123" t="s">
        <v>169</v>
      </c>
      <c r="AV123" t="s">
        <v>54</v>
      </c>
      <c r="AW123">
        <v>56609834</v>
      </c>
      <c r="AX123">
        <v>56664230</v>
      </c>
      <c r="AY123" t="str">
        <f>HYPERLINK("http://genome.ucsc.edu/cgi-bin/hgTracks?clade=vertebrate&amp;org=Human&amp;db=hg19&amp;position=chrX:56637159-56697159")</f>
        <v>http://genome.ucsc.edu/cgi-bin/hgTracks?clade=vertebrate&amp;org=Human&amp;db=hg19&amp;position=chrX:56637159-56697159</v>
      </c>
      <c r="AZ123" t="s">
        <v>55</v>
      </c>
      <c r="BA123">
        <v>2929</v>
      </c>
    </row>
    <row r="124" spans="1:53" x14ac:dyDescent="0.2">
      <c r="A124" t="s">
        <v>167</v>
      </c>
      <c r="B124" t="s">
        <v>54</v>
      </c>
      <c r="C124">
        <v>69552123</v>
      </c>
      <c r="G124">
        <v>811</v>
      </c>
      <c r="AT124" t="s">
        <v>170</v>
      </c>
      <c r="AU124" t="s">
        <v>171</v>
      </c>
      <c r="AV124" t="s">
        <v>54</v>
      </c>
      <c r="AW124">
        <v>69360330</v>
      </c>
      <c r="AX124">
        <v>69868037</v>
      </c>
      <c r="AY124" t="str">
        <f>HYPERLINK("http://genome.ucsc.edu/cgi-bin/hgTracks?clade=vertebrate&amp;org=Human&amp;db=hg19&amp;position=chrX:69522123-69582123")</f>
        <v>http://genome.ucsc.edu/cgi-bin/hgTracks?clade=vertebrate&amp;org=Human&amp;db=hg19&amp;position=chrX:69522123-69582123</v>
      </c>
      <c r="AZ124" t="s">
        <v>49</v>
      </c>
      <c r="BA124" t="s">
        <v>50</v>
      </c>
    </row>
  </sheetData>
  <sortState xmlns:xlrd2="http://schemas.microsoft.com/office/spreadsheetml/2017/richdata2" ref="A1:BA127">
    <sortCondition descending="1" ref="AI1:AI1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124"/>
  <sheetViews>
    <sheetView topLeftCell="I3" workbookViewId="0">
      <selection sqref="A1:XFD1048576"/>
    </sheetView>
  </sheetViews>
  <sheetFormatPr baseColWidth="10" defaultRowHeight="16" x14ac:dyDescent="0.2"/>
  <sheetData>
    <row r="1" spans="1:5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</row>
    <row r="2" spans="1:53" x14ac:dyDescent="0.2">
      <c r="A2" t="s">
        <v>45</v>
      </c>
      <c r="B2" t="s">
        <v>46</v>
      </c>
      <c r="C2">
        <v>20221001</v>
      </c>
      <c r="D2">
        <v>97</v>
      </c>
      <c r="AT2" t="s">
        <v>47</v>
      </c>
      <c r="AU2" t="s">
        <v>48</v>
      </c>
      <c r="AV2" t="s">
        <v>46</v>
      </c>
      <c r="AW2">
        <v>20057778</v>
      </c>
      <c r="AX2">
        <v>20618057</v>
      </c>
      <c r="AY2" t="str">
        <f>HYPERLINK("http://genome.ucsc.edu/cgi-bin/hgTracks?clade=vertebrate&amp;org=Human&amp;db=hg19&amp;position=chr1:20191001-20251001")</f>
        <v>http://genome.ucsc.edu/cgi-bin/hgTracks?clade=vertebrate&amp;org=Human&amp;db=hg19&amp;position=chr1:20191001-20251001</v>
      </c>
      <c r="AZ2" t="s">
        <v>49</v>
      </c>
      <c r="BA2" t="s">
        <v>50</v>
      </c>
    </row>
    <row r="3" spans="1:53" x14ac:dyDescent="0.2">
      <c r="A3" t="s">
        <v>45</v>
      </c>
      <c r="B3" t="s">
        <v>46</v>
      </c>
      <c r="C3">
        <v>20221002</v>
      </c>
      <c r="D3">
        <v>1</v>
      </c>
      <c r="AT3" t="s">
        <v>47</v>
      </c>
      <c r="AU3" t="s">
        <v>48</v>
      </c>
      <c r="AV3" t="s">
        <v>46</v>
      </c>
      <c r="AW3">
        <v>20057778</v>
      </c>
      <c r="AX3">
        <v>20618057</v>
      </c>
      <c r="AY3" t="str">
        <f>HYPERLINK("http://genome.ucsc.edu/cgi-bin/hgTracks?clade=vertebrate&amp;org=Human&amp;db=hg19&amp;position=chr1:20191002-20251002")</f>
        <v>http://genome.ucsc.edu/cgi-bin/hgTracks?clade=vertebrate&amp;org=Human&amp;db=hg19&amp;position=chr1:20191002-20251002</v>
      </c>
      <c r="AZ3" t="s">
        <v>49</v>
      </c>
      <c r="BA3" t="s">
        <v>50</v>
      </c>
    </row>
    <row r="4" spans="1:53" x14ac:dyDescent="0.2">
      <c r="A4" t="s">
        <v>45</v>
      </c>
      <c r="B4" t="s">
        <v>46</v>
      </c>
      <c r="C4">
        <v>71902314</v>
      </c>
      <c r="AH4">
        <v>100</v>
      </c>
      <c r="AO4">
        <v>1</v>
      </c>
      <c r="AT4" t="s">
        <v>52</v>
      </c>
      <c r="AU4" t="s">
        <v>53</v>
      </c>
      <c r="AV4" t="s">
        <v>54</v>
      </c>
      <c r="AW4">
        <v>71888111</v>
      </c>
      <c r="AX4">
        <v>71891204</v>
      </c>
      <c r="AY4" t="str">
        <f>HYPERLINK("http://genome.ucsc.edu/cgi-bin/hgTracks?clade=vertebrate&amp;org=Human&amp;db=hg19&amp;position=chr1:71872314-71932314")</f>
        <v>http://genome.ucsc.edu/cgi-bin/hgTracks?clade=vertebrate&amp;org=Human&amp;db=hg19&amp;position=chr1:71872314-71932314</v>
      </c>
      <c r="AZ4" t="s">
        <v>55</v>
      </c>
      <c r="BA4">
        <v>11110</v>
      </c>
    </row>
    <row r="5" spans="1:53" x14ac:dyDescent="0.2">
      <c r="A5" t="s">
        <v>45</v>
      </c>
      <c r="B5" t="s">
        <v>54</v>
      </c>
      <c r="C5">
        <v>97720968</v>
      </c>
      <c r="F5">
        <v>188</v>
      </c>
      <c r="M5">
        <v>1</v>
      </c>
      <c r="AT5" t="s">
        <v>56</v>
      </c>
      <c r="AU5" t="s">
        <v>57</v>
      </c>
      <c r="AV5" t="s">
        <v>46</v>
      </c>
      <c r="AW5">
        <v>97706042</v>
      </c>
      <c r="AX5">
        <v>97770092</v>
      </c>
      <c r="AY5" t="str">
        <f>HYPERLINK("http://genome.ucsc.edu/cgi-bin/hgTracks?clade=vertebrate&amp;org=Human&amp;db=hg19&amp;position=chr1:97690968-97750968")</f>
        <v>http://genome.ucsc.edu/cgi-bin/hgTracks?clade=vertebrate&amp;org=Human&amp;db=hg19&amp;position=chr1:97690968-97750968</v>
      </c>
      <c r="AZ5" t="s">
        <v>49</v>
      </c>
      <c r="BA5" t="s">
        <v>50</v>
      </c>
    </row>
    <row r="6" spans="1:53" x14ac:dyDescent="0.2">
      <c r="A6" t="s">
        <v>45</v>
      </c>
      <c r="B6" t="s">
        <v>46</v>
      </c>
      <c r="C6">
        <v>111857104</v>
      </c>
      <c r="I6">
        <v>1</v>
      </c>
      <c r="P6">
        <v>1</v>
      </c>
      <c r="AD6">
        <v>220</v>
      </c>
      <c r="AR6">
        <v>1</v>
      </c>
      <c r="AT6" t="s">
        <v>58</v>
      </c>
      <c r="AU6" t="s">
        <v>59</v>
      </c>
      <c r="AV6" t="s">
        <v>46</v>
      </c>
      <c r="AW6">
        <v>111858701</v>
      </c>
      <c r="AX6">
        <v>111864918</v>
      </c>
      <c r="AY6" t="str">
        <f>HYPERLINK("http://genome.ucsc.edu/cgi-bin/hgTracks?clade=vertebrate&amp;org=Human&amp;db=hg19&amp;position=chr1:111827104-111887104")</f>
        <v>http://genome.ucsc.edu/cgi-bin/hgTracks?clade=vertebrate&amp;org=Human&amp;db=hg19&amp;position=chr1:111827104-111887104</v>
      </c>
      <c r="AZ6" t="s">
        <v>55</v>
      </c>
      <c r="BA6">
        <v>1597</v>
      </c>
    </row>
    <row r="7" spans="1:53" x14ac:dyDescent="0.2">
      <c r="A7" t="s">
        <v>45</v>
      </c>
      <c r="B7" t="s">
        <v>46</v>
      </c>
      <c r="C7">
        <v>111857105</v>
      </c>
      <c r="AD7">
        <v>3</v>
      </c>
      <c r="AT7" t="s">
        <v>58</v>
      </c>
      <c r="AU7" t="s">
        <v>59</v>
      </c>
      <c r="AV7" t="s">
        <v>46</v>
      </c>
      <c r="AW7">
        <v>111858701</v>
      </c>
      <c r="AX7">
        <v>111864918</v>
      </c>
      <c r="AY7" t="str">
        <f>HYPERLINK("http://genome.ucsc.edu/cgi-bin/hgTracks?clade=vertebrate&amp;org=Human&amp;db=hg19&amp;position=chr1:111827105-111887105")</f>
        <v>http://genome.ucsc.edu/cgi-bin/hgTracks?clade=vertebrate&amp;org=Human&amp;db=hg19&amp;position=chr1:111827105-111887105</v>
      </c>
      <c r="AZ7" t="s">
        <v>55</v>
      </c>
      <c r="BA7">
        <v>1596</v>
      </c>
    </row>
    <row r="8" spans="1:53" x14ac:dyDescent="0.2">
      <c r="A8" t="s">
        <v>60</v>
      </c>
      <c r="B8" t="s">
        <v>54</v>
      </c>
      <c r="C8">
        <v>3802053</v>
      </c>
      <c r="M8">
        <v>1</v>
      </c>
      <c r="AT8" t="s">
        <v>177</v>
      </c>
      <c r="AU8" t="s">
        <v>178</v>
      </c>
      <c r="AV8" t="s">
        <v>54</v>
      </c>
      <c r="AW8">
        <v>3740376</v>
      </c>
      <c r="AX8">
        <v>3967302</v>
      </c>
      <c r="AY8" t="str">
        <f>HYPERLINK("http://genome.ucsc.edu/cgi-bin/hgTracks?clade=vertebrate&amp;org=Human&amp;db=hg19&amp;position=chr10:3772053-3832053")</f>
        <v>http://genome.ucsc.edu/cgi-bin/hgTracks?clade=vertebrate&amp;org=Human&amp;db=hg19&amp;position=chr10:3772053-3832053</v>
      </c>
      <c r="AZ8" t="s">
        <v>49</v>
      </c>
      <c r="BA8" t="s">
        <v>50</v>
      </c>
    </row>
    <row r="9" spans="1:53" x14ac:dyDescent="0.2">
      <c r="A9" t="s">
        <v>60</v>
      </c>
      <c r="B9" t="s">
        <v>54</v>
      </c>
      <c r="C9">
        <v>16648302</v>
      </c>
      <c r="D9">
        <v>122</v>
      </c>
      <c r="AM9">
        <v>1</v>
      </c>
      <c r="AT9" t="s">
        <v>61</v>
      </c>
      <c r="AU9" t="s">
        <v>62</v>
      </c>
      <c r="AV9" t="s">
        <v>46</v>
      </c>
      <c r="AW9">
        <v>16951093</v>
      </c>
      <c r="AX9">
        <v>17095782</v>
      </c>
      <c r="AY9" t="str">
        <f>HYPERLINK("http://genome.ucsc.edu/cgi-bin/hgTracks?clade=vertebrate&amp;org=Human&amp;db=hg19&amp;position=chr10:16618302-16678302")</f>
        <v>http://genome.ucsc.edu/cgi-bin/hgTracks?clade=vertebrate&amp;org=Human&amp;db=hg19&amp;position=chr10:16618302-16678302</v>
      </c>
      <c r="AZ9" t="s">
        <v>55</v>
      </c>
      <c r="BA9">
        <v>302791</v>
      </c>
    </row>
    <row r="10" spans="1:53" x14ac:dyDescent="0.2">
      <c r="A10" t="s">
        <v>60</v>
      </c>
      <c r="B10" t="s">
        <v>46</v>
      </c>
      <c r="C10">
        <v>24508814</v>
      </c>
      <c r="U10">
        <v>165</v>
      </c>
      <c r="AT10" t="s">
        <v>63</v>
      </c>
      <c r="AU10" t="s">
        <v>64</v>
      </c>
      <c r="AV10" t="s">
        <v>54</v>
      </c>
      <c r="AW10">
        <v>24595441</v>
      </c>
      <c r="AX10">
        <v>24598682</v>
      </c>
      <c r="AY10" t="str">
        <f>HYPERLINK("http://genome.ucsc.edu/cgi-bin/hgTracks?clade=vertebrate&amp;org=Human&amp;db=hg19&amp;position=chr10:24478814-24538814")</f>
        <v>http://genome.ucsc.edu/cgi-bin/hgTracks?clade=vertebrate&amp;org=Human&amp;db=hg19&amp;position=chr10:24478814-24538814</v>
      </c>
      <c r="AZ10" t="s">
        <v>55</v>
      </c>
      <c r="BA10">
        <v>86627</v>
      </c>
    </row>
    <row r="11" spans="1:53" x14ac:dyDescent="0.2">
      <c r="A11" t="s">
        <v>60</v>
      </c>
      <c r="B11" t="s">
        <v>54</v>
      </c>
      <c r="C11">
        <v>51157708</v>
      </c>
      <c r="G11">
        <v>1</v>
      </c>
      <c r="AT11" t="s">
        <v>179</v>
      </c>
      <c r="AU11" t="s">
        <v>180</v>
      </c>
      <c r="AV11" t="s">
        <v>54</v>
      </c>
      <c r="AW11">
        <v>50895650</v>
      </c>
      <c r="AX11">
        <v>50989152</v>
      </c>
      <c r="AY11" t="str">
        <f>HYPERLINK("http://genome.ucsc.edu/cgi-bin/hgTracks?clade=vertebrate&amp;org=Human&amp;db=hg19&amp;position=chr10:51127708-51187708")</f>
        <v>http://genome.ucsc.edu/cgi-bin/hgTracks?clade=vertebrate&amp;org=Human&amp;db=hg19&amp;position=chr10:51127708-51187708</v>
      </c>
      <c r="AZ11" t="s">
        <v>55</v>
      </c>
      <c r="BA11">
        <v>168556</v>
      </c>
    </row>
    <row r="12" spans="1:53" x14ac:dyDescent="0.2">
      <c r="A12" t="s">
        <v>60</v>
      </c>
      <c r="B12" t="s">
        <v>54</v>
      </c>
      <c r="C12">
        <v>77306899</v>
      </c>
      <c r="S12">
        <v>1</v>
      </c>
      <c r="X12">
        <v>1</v>
      </c>
      <c r="AT12" t="s">
        <v>181</v>
      </c>
      <c r="AU12" t="s">
        <v>182</v>
      </c>
      <c r="AV12" t="s">
        <v>46</v>
      </c>
      <c r="AW12">
        <v>77290726</v>
      </c>
      <c r="AX12">
        <v>77418273</v>
      </c>
      <c r="AY12" t="str">
        <f>HYPERLINK("http://genome.ucsc.edu/cgi-bin/hgTracks?clade=vertebrate&amp;org=Human&amp;db=hg19&amp;position=chr10:77276899-77336899")</f>
        <v>http://genome.ucsc.edu/cgi-bin/hgTracks?clade=vertebrate&amp;org=Human&amp;db=hg19&amp;position=chr10:77276899-77336899</v>
      </c>
      <c r="AZ12" t="s">
        <v>49</v>
      </c>
      <c r="BA12" t="s">
        <v>50</v>
      </c>
    </row>
    <row r="13" spans="1:53" x14ac:dyDescent="0.2">
      <c r="A13" t="s">
        <v>60</v>
      </c>
      <c r="B13" t="s">
        <v>54</v>
      </c>
      <c r="C13">
        <v>125300473</v>
      </c>
      <c r="E13">
        <v>57</v>
      </c>
      <c r="AT13" t="s">
        <v>65</v>
      </c>
      <c r="AU13" t="s">
        <v>66</v>
      </c>
      <c r="AV13" t="s">
        <v>46</v>
      </c>
      <c r="AW13">
        <v>125227484</v>
      </c>
      <c r="AX13">
        <v>125328535</v>
      </c>
      <c r="AY13" t="str">
        <f>HYPERLINK("http://genome.ucsc.edu/cgi-bin/hgTracks?clade=vertebrate&amp;org=Human&amp;db=hg19&amp;position=chr10:125270473-125330473")</f>
        <v>http://genome.ucsc.edu/cgi-bin/hgTracks?clade=vertebrate&amp;org=Human&amp;db=hg19&amp;position=chr10:125270473-125330473</v>
      </c>
      <c r="AZ13" t="s">
        <v>49</v>
      </c>
      <c r="BA13" t="s">
        <v>50</v>
      </c>
    </row>
    <row r="14" spans="1:53" x14ac:dyDescent="0.2">
      <c r="A14" t="s">
        <v>67</v>
      </c>
      <c r="B14" t="s">
        <v>54</v>
      </c>
      <c r="C14">
        <v>48805342</v>
      </c>
      <c r="AM14">
        <v>1</v>
      </c>
      <c r="AT14" t="s">
        <v>68</v>
      </c>
      <c r="AU14" t="s">
        <v>69</v>
      </c>
      <c r="AV14" t="s">
        <v>54</v>
      </c>
      <c r="AW14">
        <v>48800359</v>
      </c>
      <c r="AX14">
        <v>48806241</v>
      </c>
      <c r="AY14" t="str">
        <f>HYPERLINK("http://genome.ucsc.edu/cgi-bin/hgTracks?clade=vertebrate&amp;org=Human&amp;db=hg19&amp;position=chr11:48775342-48835342")</f>
        <v>http://genome.ucsc.edu/cgi-bin/hgTracks?clade=vertebrate&amp;org=Human&amp;db=hg19&amp;position=chr11:48775342-48835342</v>
      </c>
      <c r="AZ14" t="s">
        <v>49</v>
      </c>
      <c r="BA14" t="s">
        <v>50</v>
      </c>
    </row>
    <row r="15" spans="1:53" x14ac:dyDescent="0.2">
      <c r="A15" t="s">
        <v>67</v>
      </c>
      <c r="B15" t="s">
        <v>54</v>
      </c>
      <c r="C15">
        <v>48805343</v>
      </c>
      <c r="D15">
        <v>1</v>
      </c>
      <c r="K15">
        <v>1</v>
      </c>
      <c r="AF15">
        <v>1</v>
      </c>
      <c r="AM15">
        <v>256</v>
      </c>
      <c r="AT15" t="s">
        <v>68</v>
      </c>
      <c r="AU15" t="s">
        <v>69</v>
      </c>
      <c r="AV15" t="s">
        <v>54</v>
      </c>
      <c r="AW15">
        <v>48800359</v>
      </c>
      <c r="AX15">
        <v>48806241</v>
      </c>
      <c r="AY15" t="str">
        <f>HYPERLINK("http://genome.ucsc.edu/cgi-bin/hgTracks?clade=vertebrate&amp;org=Human&amp;db=hg19&amp;position=chr11:48775343-48835343")</f>
        <v>http://genome.ucsc.edu/cgi-bin/hgTracks?clade=vertebrate&amp;org=Human&amp;db=hg19&amp;position=chr11:48775343-48835343</v>
      </c>
      <c r="AZ15" t="s">
        <v>49</v>
      </c>
      <c r="BA15" t="s">
        <v>50</v>
      </c>
    </row>
    <row r="16" spans="1:53" x14ac:dyDescent="0.2">
      <c r="A16" t="s">
        <v>67</v>
      </c>
      <c r="B16" t="s">
        <v>46</v>
      </c>
      <c r="C16">
        <v>121586257</v>
      </c>
      <c r="AD16">
        <v>97</v>
      </c>
      <c r="AT16" t="s">
        <v>70</v>
      </c>
      <c r="AU16" t="s">
        <v>71</v>
      </c>
      <c r="AV16" t="s">
        <v>54</v>
      </c>
      <c r="AW16">
        <v>121451948</v>
      </c>
      <c r="AX16">
        <v>121617170</v>
      </c>
      <c r="AY16" t="str">
        <f>HYPERLINK("http://genome.ucsc.edu/cgi-bin/hgTracks?clade=vertebrate&amp;org=Human&amp;db=hg19&amp;position=chr11:121556257-121616257")</f>
        <v>http://genome.ucsc.edu/cgi-bin/hgTracks?clade=vertebrate&amp;org=Human&amp;db=hg19&amp;position=chr11:121556257-121616257</v>
      </c>
      <c r="AZ16" t="s">
        <v>49</v>
      </c>
      <c r="BA16" t="s">
        <v>50</v>
      </c>
    </row>
    <row r="17" spans="1:53" x14ac:dyDescent="0.2">
      <c r="A17" t="s">
        <v>67</v>
      </c>
      <c r="B17" t="s">
        <v>46</v>
      </c>
      <c r="C17">
        <v>121586258</v>
      </c>
      <c r="AD17">
        <v>2</v>
      </c>
      <c r="AT17" t="s">
        <v>70</v>
      </c>
      <c r="AU17" t="s">
        <v>71</v>
      </c>
      <c r="AV17" t="s">
        <v>54</v>
      </c>
      <c r="AW17">
        <v>121451948</v>
      </c>
      <c r="AX17">
        <v>121617170</v>
      </c>
      <c r="AY17" t="str">
        <f>HYPERLINK("http://genome.ucsc.edu/cgi-bin/hgTracks?clade=vertebrate&amp;org=Human&amp;db=hg19&amp;position=chr11:121556258-121616258")</f>
        <v>http://genome.ucsc.edu/cgi-bin/hgTracks?clade=vertebrate&amp;org=Human&amp;db=hg19&amp;position=chr11:121556258-121616258</v>
      </c>
      <c r="AZ17" t="s">
        <v>49</v>
      </c>
      <c r="BA17" t="s">
        <v>50</v>
      </c>
    </row>
    <row r="18" spans="1:53" x14ac:dyDescent="0.2">
      <c r="A18" t="s">
        <v>72</v>
      </c>
      <c r="B18" t="s">
        <v>54</v>
      </c>
      <c r="C18">
        <v>18756677</v>
      </c>
      <c r="D18">
        <v>1</v>
      </c>
      <c r="AT18" t="s">
        <v>183</v>
      </c>
      <c r="AU18" t="s">
        <v>184</v>
      </c>
      <c r="AV18" t="s">
        <v>54</v>
      </c>
      <c r="AW18">
        <v>18514509</v>
      </c>
      <c r="AX18">
        <v>18535254</v>
      </c>
      <c r="AY18" t="str">
        <f>HYPERLINK("http://genome.ucsc.edu/cgi-bin/hgTracks?clade=vertebrate&amp;org=Human&amp;db=hg19&amp;position=chr12:18726677-18786677")</f>
        <v>http://genome.ucsc.edu/cgi-bin/hgTracks?clade=vertebrate&amp;org=Human&amp;db=hg19&amp;position=chr12:18726677-18786677</v>
      </c>
      <c r="AZ18" t="s">
        <v>55</v>
      </c>
      <c r="BA18">
        <v>221423</v>
      </c>
    </row>
    <row r="19" spans="1:53" x14ac:dyDescent="0.2">
      <c r="A19" t="s">
        <v>72</v>
      </c>
      <c r="B19" t="s">
        <v>46</v>
      </c>
      <c r="C19">
        <v>34322282</v>
      </c>
      <c r="F19">
        <v>1</v>
      </c>
      <c r="AT19" t="s">
        <v>185</v>
      </c>
      <c r="AU19" t="s">
        <v>186</v>
      </c>
      <c r="AV19" t="s">
        <v>46</v>
      </c>
      <c r="AW19">
        <v>34047581</v>
      </c>
      <c r="AX19">
        <v>34917095</v>
      </c>
      <c r="AY19" t="str">
        <f>HYPERLINK("http://genome.ucsc.edu/cgi-bin/hgTracks?clade=vertebrate&amp;org=Human&amp;db=hg19&amp;position=chr12:34292282-34352282")</f>
        <v>http://genome.ucsc.edu/cgi-bin/hgTracks?clade=vertebrate&amp;org=Human&amp;db=hg19&amp;position=chr12:34292282-34352282</v>
      </c>
      <c r="AZ19" t="s">
        <v>49</v>
      </c>
      <c r="BA19" t="s">
        <v>50</v>
      </c>
    </row>
    <row r="20" spans="1:53" x14ac:dyDescent="0.2">
      <c r="A20" t="s">
        <v>72</v>
      </c>
      <c r="B20" t="s">
        <v>46</v>
      </c>
      <c r="C20">
        <v>55445566</v>
      </c>
      <c r="I20">
        <v>1</v>
      </c>
      <c r="K20">
        <v>1</v>
      </c>
      <c r="AT20" t="s">
        <v>187</v>
      </c>
      <c r="AU20" t="s">
        <v>188</v>
      </c>
      <c r="AV20" t="s">
        <v>54</v>
      </c>
      <c r="AW20">
        <v>55370694</v>
      </c>
      <c r="AX20">
        <v>55491306</v>
      </c>
      <c r="AY20" t="str">
        <f>HYPERLINK("http://genome.ucsc.edu/cgi-bin/hgTracks?clade=vertebrate&amp;org=Human&amp;db=hg19&amp;position=chr12:55415566-55475566")</f>
        <v>http://genome.ucsc.edu/cgi-bin/hgTracks?clade=vertebrate&amp;org=Human&amp;db=hg19&amp;position=chr12:55415566-55475566</v>
      </c>
      <c r="AZ20" t="s">
        <v>49</v>
      </c>
      <c r="BA20" t="s">
        <v>50</v>
      </c>
    </row>
    <row r="21" spans="1:53" x14ac:dyDescent="0.2">
      <c r="A21" t="s">
        <v>72</v>
      </c>
      <c r="B21" t="s">
        <v>46</v>
      </c>
      <c r="C21">
        <v>103583721</v>
      </c>
      <c r="F21">
        <v>160</v>
      </c>
      <c r="AT21" t="s">
        <v>73</v>
      </c>
      <c r="AU21" t="s">
        <v>74</v>
      </c>
      <c r="AV21" t="s">
        <v>54</v>
      </c>
      <c r="AW21">
        <v>103532564</v>
      </c>
      <c r="AX21">
        <v>103613832</v>
      </c>
      <c r="AY21" t="str">
        <f>HYPERLINK("http://genome.ucsc.edu/cgi-bin/hgTracks?clade=vertebrate&amp;org=Human&amp;db=hg19&amp;position=chr12:103553721-103613721")</f>
        <v>http://genome.ucsc.edu/cgi-bin/hgTracks?clade=vertebrate&amp;org=Human&amp;db=hg19&amp;position=chr12:103553721-103613721</v>
      </c>
      <c r="AZ21" t="s">
        <v>49</v>
      </c>
      <c r="BA21" t="s">
        <v>50</v>
      </c>
    </row>
    <row r="22" spans="1:53" x14ac:dyDescent="0.2">
      <c r="A22" t="s">
        <v>72</v>
      </c>
      <c r="B22" t="s">
        <v>46</v>
      </c>
      <c r="C22">
        <v>103583722</v>
      </c>
      <c r="F22">
        <v>1</v>
      </c>
      <c r="AT22" t="s">
        <v>73</v>
      </c>
      <c r="AU22" t="s">
        <v>74</v>
      </c>
      <c r="AV22" t="s">
        <v>54</v>
      </c>
      <c r="AW22">
        <v>103532564</v>
      </c>
      <c r="AX22">
        <v>103613832</v>
      </c>
      <c r="AY22" t="str">
        <f>HYPERLINK("http://genome.ucsc.edu/cgi-bin/hgTracks?clade=vertebrate&amp;org=Human&amp;db=hg19&amp;position=chr12:103553722-103613722")</f>
        <v>http://genome.ucsc.edu/cgi-bin/hgTracks?clade=vertebrate&amp;org=Human&amp;db=hg19&amp;position=chr12:103553722-103613722</v>
      </c>
      <c r="AZ22" t="s">
        <v>49</v>
      </c>
      <c r="BA22" t="s">
        <v>50</v>
      </c>
    </row>
    <row r="23" spans="1:53" x14ac:dyDescent="0.2">
      <c r="A23" t="s">
        <v>72</v>
      </c>
      <c r="B23" t="s">
        <v>46</v>
      </c>
      <c r="C23">
        <v>117832907</v>
      </c>
      <c r="AI23">
        <v>1</v>
      </c>
      <c r="AT23" t="s">
        <v>189</v>
      </c>
      <c r="AU23" t="s">
        <v>190</v>
      </c>
      <c r="AV23" t="s">
        <v>54</v>
      </c>
      <c r="AW23">
        <v>117843860</v>
      </c>
      <c r="AX23">
        <v>117878706</v>
      </c>
      <c r="AY23" t="str">
        <f>HYPERLINK("http://genome.ucsc.edu/cgi-bin/hgTracks?clade=vertebrate&amp;org=Human&amp;db=hg19&amp;position=chr12:117802907-117862907")</f>
        <v>http://genome.ucsc.edu/cgi-bin/hgTracks?clade=vertebrate&amp;org=Human&amp;db=hg19&amp;position=chr12:117802907-117862907</v>
      </c>
      <c r="AZ23" t="s">
        <v>55</v>
      </c>
      <c r="BA23">
        <v>10953</v>
      </c>
    </row>
    <row r="24" spans="1:53" x14ac:dyDescent="0.2">
      <c r="A24" t="s">
        <v>75</v>
      </c>
      <c r="B24" t="s">
        <v>54</v>
      </c>
      <c r="C24">
        <v>26426394</v>
      </c>
      <c r="D24">
        <v>106</v>
      </c>
      <c r="AT24" t="s">
        <v>76</v>
      </c>
      <c r="AU24" t="s">
        <v>77</v>
      </c>
      <c r="AV24" t="s">
        <v>46</v>
      </c>
      <c r="AW24">
        <v>26283158</v>
      </c>
      <c r="AX24">
        <v>26312406</v>
      </c>
      <c r="AY24" t="str">
        <f>HYPERLINK("http://genome.ucsc.edu/cgi-bin/hgTracks?clade=vertebrate&amp;org=Human&amp;db=hg19&amp;position=chr13:26396394-26456394")</f>
        <v>http://genome.ucsc.edu/cgi-bin/hgTracks?clade=vertebrate&amp;org=Human&amp;db=hg19&amp;position=chr13:26396394-26456394</v>
      </c>
      <c r="AZ24" t="s">
        <v>55</v>
      </c>
      <c r="BA24">
        <v>113988</v>
      </c>
    </row>
    <row r="25" spans="1:53" x14ac:dyDescent="0.2">
      <c r="A25" t="s">
        <v>75</v>
      </c>
      <c r="B25" t="s">
        <v>54</v>
      </c>
      <c r="C25">
        <v>56709599</v>
      </c>
      <c r="H25">
        <v>1</v>
      </c>
      <c r="O25">
        <v>1</v>
      </c>
      <c r="AA25">
        <v>1</v>
      </c>
      <c r="AC25">
        <v>239</v>
      </c>
      <c r="AT25" t="s">
        <v>78</v>
      </c>
      <c r="AU25" t="s">
        <v>79</v>
      </c>
      <c r="AV25" t="s">
        <v>54</v>
      </c>
      <c r="AW25">
        <v>56703051</v>
      </c>
      <c r="AX25">
        <v>56742378</v>
      </c>
      <c r="AY25" t="str">
        <f>HYPERLINK("http://genome.ucsc.edu/cgi-bin/hgTracks?clade=vertebrate&amp;org=Human&amp;db=hg19&amp;position=chr13:56679599-56739599")</f>
        <v>http://genome.ucsc.edu/cgi-bin/hgTracks?clade=vertebrate&amp;org=Human&amp;db=hg19&amp;position=chr13:56679599-56739599</v>
      </c>
      <c r="AZ25" t="s">
        <v>49</v>
      </c>
      <c r="BA25" t="s">
        <v>50</v>
      </c>
    </row>
    <row r="26" spans="1:53" x14ac:dyDescent="0.2">
      <c r="A26" t="s">
        <v>75</v>
      </c>
      <c r="B26" t="s">
        <v>46</v>
      </c>
      <c r="C26">
        <v>114874312</v>
      </c>
      <c r="E26">
        <v>132</v>
      </c>
      <c r="AT26" t="s">
        <v>80</v>
      </c>
      <c r="AU26" t="s">
        <v>81</v>
      </c>
      <c r="AV26" t="s">
        <v>46</v>
      </c>
      <c r="AW26">
        <v>114835911</v>
      </c>
      <c r="AX26">
        <v>114932041</v>
      </c>
      <c r="AY26" t="str">
        <f>HYPERLINK("http://genome.ucsc.edu/cgi-bin/hgTracks?clade=vertebrate&amp;org=Human&amp;db=hg19&amp;position=chr13:114844312-114904312")</f>
        <v>http://genome.ucsc.edu/cgi-bin/hgTracks?clade=vertebrate&amp;org=Human&amp;db=hg19&amp;position=chr13:114844312-114904312</v>
      </c>
      <c r="AZ26" t="s">
        <v>49</v>
      </c>
      <c r="BA26" t="s">
        <v>50</v>
      </c>
    </row>
    <row r="27" spans="1:53" x14ac:dyDescent="0.2">
      <c r="A27" t="s">
        <v>82</v>
      </c>
      <c r="B27" t="s">
        <v>54</v>
      </c>
      <c r="C27">
        <v>19416107</v>
      </c>
      <c r="S27">
        <v>1</v>
      </c>
      <c r="AT27" t="s">
        <v>191</v>
      </c>
      <c r="AU27" t="s">
        <v>192</v>
      </c>
      <c r="AV27" t="s">
        <v>46</v>
      </c>
      <c r="AW27">
        <v>19594137</v>
      </c>
      <c r="AX27">
        <v>19602587</v>
      </c>
      <c r="AY27" t="str">
        <f>HYPERLINK("http://genome.ucsc.edu/cgi-bin/hgTracks?clade=vertebrate&amp;org=Human&amp;db=hg19&amp;position=chr14:19386107-19446107")</f>
        <v>http://genome.ucsc.edu/cgi-bin/hgTracks?clade=vertebrate&amp;org=Human&amp;db=hg19&amp;position=chr14:19386107-19446107</v>
      </c>
      <c r="AZ27" t="s">
        <v>55</v>
      </c>
      <c r="BA27">
        <v>178030</v>
      </c>
    </row>
    <row r="28" spans="1:53" x14ac:dyDescent="0.2">
      <c r="A28" t="s">
        <v>82</v>
      </c>
      <c r="B28" t="s">
        <v>46</v>
      </c>
      <c r="C28">
        <v>19416697</v>
      </c>
      <c r="G28">
        <v>1</v>
      </c>
      <c r="AT28" t="s">
        <v>191</v>
      </c>
      <c r="AU28" t="s">
        <v>192</v>
      </c>
      <c r="AV28" t="s">
        <v>46</v>
      </c>
      <c r="AW28">
        <v>19594137</v>
      </c>
      <c r="AX28">
        <v>19602587</v>
      </c>
      <c r="AY28" t="str">
        <f>HYPERLINK("http://genome.ucsc.edu/cgi-bin/hgTracks?clade=vertebrate&amp;org=Human&amp;db=hg19&amp;position=chr14:19386697-19446697")</f>
        <v>http://genome.ucsc.edu/cgi-bin/hgTracks?clade=vertebrate&amp;org=Human&amp;db=hg19&amp;position=chr14:19386697-19446697</v>
      </c>
      <c r="AZ28" t="s">
        <v>55</v>
      </c>
      <c r="BA28">
        <v>177440</v>
      </c>
    </row>
    <row r="29" spans="1:53" x14ac:dyDescent="0.2">
      <c r="A29" t="s">
        <v>82</v>
      </c>
      <c r="B29" t="s">
        <v>54</v>
      </c>
      <c r="C29">
        <v>79350280</v>
      </c>
      <c r="E29">
        <v>128</v>
      </c>
      <c r="AT29" t="s">
        <v>83</v>
      </c>
      <c r="AU29" t="s">
        <v>84</v>
      </c>
      <c r="AV29" t="s">
        <v>46</v>
      </c>
      <c r="AW29">
        <v>79334506</v>
      </c>
      <c r="AX29">
        <v>79390668</v>
      </c>
      <c r="AY29" t="str">
        <f>HYPERLINK("http://genome.ucsc.edu/cgi-bin/hgTracks?clade=vertebrate&amp;org=Human&amp;db=hg19&amp;position=chr14:79320280-79380280")</f>
        <v>http://genome.ucsc.edu/cgi-bin/hgTracks?clade=vertebrate&amp;org=Human&amp;db=hg19&amp;position=chr14:79320280-79380280</v>
      </c>
      <c r="AZ29" t="s">
        <v>49</v>
      </c>
      <c r="BA29" t="s">
        <v>50</v>
      </c>
    </row>
    <row r="30" spans="1:53" x14ac:dyDescent="0.2">
      <c r="A30" t="s">
        <v>82</v>
      </c>
      <c r="B30" t="s">
        <v>54</v>
      </c>
      <c r="C30">
        <v>123533678</v>
      </c>
      <c r="G30">
        <v>1</v>
      </c>
      <c r="AT30" t="s">
        <v>193</v>
      </c>
      <c r="AU30" t="s">
        <v>194</v>
      </c>
      <c r="AV30" t="s">
        <v>46</v>
      </c>
      <c r="AW30">
        <v>123276640</v>
      </c>
      <c r="AX30">
        <v>123627144</v>
      </c>
      <c r="AY30" t="str">
        <f>HYPERLINK("http://genome.ucsc.edu/cgi-bin/hgTracks?clade=vertebrate&amp;org=Human&amp;db=hg19&amp;position=chr14:123503678-123563678")</f>
        <v>http://genome.ucsc.edu/cgi-bin/hgTracks?clade=vertebrate&amp;org=Human&amp;db=hg19&amp;position=chr14:123503678-123563678</v>
      </c>
      <c r="AZ30" t="s">
        <v>49</v>
      </c>
      <c r="BA30" t="s">
        <v>50</v>
      </c>
    </row>
    <row r="31" spans="1:53" x14ac:dyDescent="0.2">
      <c r="A31" t="s">
        <v>85</v>
      </c>
      <c r="B31" t="s">
        <v>46</v>
      </c>
      <c r="C31">
        <v>53119979</v>
      </c>
      <c r="E31">
        <v>139</v>
      </c>
      <c r="AT31" t="s">
        <v>86</v>
      </c>
      <c r="AU31" t="s">
        <v>87</v>
      </c>
      <c r="AV31" t="s">
        <v>46</v>
      </c>
      <c r="AW31">
        <v>53068260</v>
      </c>
      <c r="AX31">
        <v>53346183</v>
      </c>
      <c r="AY31" t="str">
        <f>HYPERLINK("http://genome.ucsc.edu/cgi-bin/hgTracks?clade=vertebrate&amp;org=Human&amp;db=hg19&amp;position=chr15:53089979-53149979")</f>
        <v>http://genome.ucsc.edu/cgi-bin/hgTracks?clade=vertebrate&amp;org=Human&amp;db=hg19&amp;position=chr15:53089979-53149979</v>
      </c>
      <c r="AZ31" t="s">
        <v>49</v>
      </c>
      <c r="BA31" t="s">
        <v>50</v>
      </c>
    </row>
    <row r="32" spans="1:53" x14ac:dyDescent="0.2">
      <c r="A32" t="s">
        <v>85</v>
      </c>
      <c r="B32" t="s">
        <v>46</v>
      </c>
      <c r="C32">
        <v>76224401</v>
      </c>
      <c r="AI32">
        <v>1</v>
      </c>
      <c r="AT32" t="s">
        <v>195</v>
      </c>
      <c r="AU32" t="s">
        <v>196</v>
      </c>
      <c r="AV32" t="s">
        <v>46</v>
      </c>
      <c r="AW32">
        <v>76170973</v>
      </c>
      <c r="AX32">
        <v>76229497</v>
      </c>
      <c r="AY32" t="str">
        <f>HYPERLINK("http://genome.ucsc.edu/cgi-bin/hgTracks?clade=vertebrate&amp;org=Human&amp;db=hg19&amp;position=chr15:76194401-76254401")</f>
        <v>http://genome.ucsc.edu/cgi-bin/hgTracks?clade=vertebrate&amp;org=Human&amp;db=hg19&amp;position=chr15:76194401-76254401</v>
      </c>
      <c r="AZ32" t="s">
        <v>49</v>
      </c>
      <c r="BA32" t="s">
        <v>50</v>
      </c>
    </row>
    <row r="33" spans="1:53" x14ac:dyDescent="0.2">
      <c r="A33" t="s">
        <v>85</v>
      </c>
      <c r="B33" t="s">
        <v>46</v>
      </c>
      <c r="C33">
        <v>84902207</v>
      </c>
      <c r="P33">
        <v>1</v>
      </c>
      <c r="AT33" t="s">
        <v>197</v>
      </c>
      <c r="AU33" t="s">
        <v>198</v>
      </c>
      <c r="AV33" t="s">
        <v>54</v>
      </c>
      <c r="AW33">
        <v>84923427</v>
      </c>
      <c r="AX33">
        <v>84942963</v>
      </c>
      <c r="AY33" t="str">
        <f>HYPERLINK("http://genome.ucsc.edu/cgi-bin/hgTracks?clade=vertebrate&amp;org=Human&amp;db=hg19&amp;position=chr15:84872207-84932207")</f>
        <v>http://genome.ucsc.edu/cgi-bin/hgTracks?clade=vertebrate&amp;org=Human&amp;db=hg19&amp;position=chr15:84872207-84932207</v>
      </c>
      <c r="AZ33" t="s">
        <v>55</v>
      </c>
      <c r="BA33">
        <v>21220</v>
      </c>
    </row>
    <row r="34" spans="1:53" x14ac:dyDescent="0.2">
      <c r="A34" t="s">
        <v>85</v>
      </c>
      <c r="B34" t="s">
        <v>54</v>
      </c>
      <c r="C34">
        <v>96920706</v>
      </c>
      <c r="D34">
        <v>1</v>
      </c>
      <c r="AT34" t="s">
        <v>88</v>
      </c>
      <c r="AU34" t="s">
        <v>89</v>
      </c>
      <c r="AV34" t="s">
        <v>46</v>
      </c>
      <c r="AW34">
        <v>96994822</v>
      </c>
      <c r="AX34">
        <v>97055956</v>
      </c>
      <c r="AY34" t="str">
        <f>HYPERLINK("http://genome.ucsc.edu/cgi-bin/hgTracks?clade=vertebrate&amp;org=Human&amp;db=hg19&amp;position=chr15:96890706-96950706")</f>
        <v>http://genome.ucsc.edu/cgi-bin/hgTracks?clade=vertebrate&amp;org=Human&amp;db=hg19&amp;position=chr15:96890706-96950706</v>
      </c>
      <c r="AZ34" t="s">
        <v>55</v>
      </c>
      <c r="BA34">
        <v>74116</v>
      </c>
    </row>
    <row r="35" spans="1:53" x14ac:dyDescent="0.2">
      <c r="A35" t="s">
        <v>85</v>
      </c>
      <c r="B35" t="s">
        <v>54</v>
      </c>
      <c r="C35">
        <v>96920707</v>
      </c>
      <c r="D35">
        <v>123</v>
      </c>
      <c r="AT35" t="s">
        <v>88</v>
      </c>
      <c r="AU35" t="s">
        <v>89</v>
      </c>
      <c r="AV35" t="s">
        <v>46</v>
      </c>
      <c r="AW35">
        <v>96994822</v>
      </c>
      <c r="AX35">
        <v>97055956</v>
      </c>
      <c r="AY35" t="str">
        <f>HYPERLINK("http://genome.ucsc.edu/cgi-bin/hgTracks?clade=vertebrate&amp;org=Human&amp;db=hg19&amp;position=chr15:96890707-96950707")</f>
        <v>http://genome.ucsc.edu/cgi-bin/hgTracks?clade=vertebrate&amp;org=Human&amp;db=hg19&amp;position=chr15:96890707-96950707</v>
      </c>
      <c r="AZ35" t="s">
        <v>55</v>
      </c>
      <c r="BA35">
        <v>74115</v>
      </c>
    </row>
    <row r="36" spans="1:53" x14ac:dyDescent="0.2">
      <c r="A36" t="s">
        <v>85</v>
      </c>
      <c r="B36" t="s">
        <v>54</v>
      </c>
      <c r="C36">
        <v>96920708</v>
      </c>
      <c r="D36">
        <v>1</v>
      </c>
      <c r="AT36" t="s">
        <v>88</v>
      </c>
      <c r="AU36" t="s">
        <v>89</v>
      </c>
      <c r="AV36" t="s">
        <v>46</v>
      </c>
      <c r="AW36">
        <v>96994822</v>
      </c>
      <c r="AX36">
        <v>97055956</v>
      </c>
      <c r="AY36" t="str">
        <f>HYPERLINK("http://genome.ucsc.edu/cgi-bin/hgTracks?clade=vertebrate&amp;org=Human&amp;db=hg19&amp;position=chr15:96890708-96950708")</f>
        <v>http://genome.ucsc.edu/cgi-bin/hgTracks?clade=vertebrate&amp;org=Human&amp;db=hg19&amp;position=chr15:96890708-96950708</v>
      </c>
      <c r="AZ36" t="s">
        <v>55</v>
      </c>
      <c r="BA36">
        <v>74114</v>
      </c>
    </row>
    <row r="37" spans="1:53" x14ac:dyDescent="0.2">
      <c r="A37" t="s">
        <v>85</v>
      </c>
      <c r="B37" t="s">
        <v>54</v>
      </c>
      <c r="C37">
        <v>96920709</v>
      </c>
      <c r="D37">
        <v>1</v>
      </c>
      <c r="AT37" t="s">
        <v>88</v>
      </c>
      <c r="AU37" t="s">
        <v>89</v>
      </c>
      <c r="AV37" t="s">
        <v>46</v>
      </c>
      <c r="AW37">
        <v>96994822</v>
      </c>
      <c r="AX37">
        <v>97055956</v>
      </c>
      <c r="AY37" t="str">
        <f>HYPERLINK("http://genome.ucsc.edu/cgi-bin/hgTracks?clade=vertebrate&amp;org=Human&amp;db=hg19&amp;position=chr15:96890709-96950709")</f>
        <v>http://genome.ucsc.edu/cgi-bin/hgTracks?clade=vertebrate&amp;org=Human&amp;db=hg19&amp;position=chr15:96890709-96950709</v>
      </c>
      <c r="AZ37" t="s">
        <v>55</v>
      </c>
      <c r="BA37">
        <v>74113</v>
      </c>
    </row>
    <row r="38" spans="1:53" x14ac:dyDescent="0.2">
      <c r="A38" t="s">
        <v>90</v>
      </c>
      <c r="B38" t="s">
        <v>54</v>
      </c>
      <c r="C38">
        <v>42802811</v>
      </c>
      <c r="D38">
        <v>89</v>
      </c>
      <c r="F38">
        <v>1</v>
      </c>
      <c r="AT38" t="s">
        <v>91</v>
      </c>
      <c r="AU38" t="s">
        <v>92</v>
      </c>
      <c r="AV38" t="s">
        <v>46</v>
      </c>
      <c r="AW38">
        <v>42725701</v>
      </c>
      <c r="AX38">
        <v>42875587</v>
      </c>
      <c r="AY38" t="str">
        <f>HYPERLINK("http://genome.ucsc.edu/cgi-bin/hgTracks?clade=vertebrate&amp;org=Human&amp;db=hg19&amp;position=chr16:42772811-42832811")</f>
        <v>http://genome.ucsc.edu/cgi-bin/hgTracks?clade=vertebrate&amp;org=Human&amp;db=hg19&amp;position=chr16:42772811-42832811</v>
      </c>
      <c r="AZ38" t="s">
        <v>49</v>
      </c>
      <c r="BA38" t="s">
        <v>50</v>
      </c>
    </row>
    <row r="39" spans="1:53" x14ac:dyDescent="0.2">
      <c r="A39" t="s">
        <v>90</v>
      </c>
      <c r="B39" t="s">
        <v>54</v>
      </c>
      <c r="C39">
        <v>45180572</v>
      </c>
      <c r="O39">
        <v>1</v>
      </c>
      <c r="AT39" t="s">
        <v>172</v>
      </c>
      <c r="AU39" t="s">
        <v>173</v>
      </c>
      <c r="AV39" t="s">
        <v>54</v>
      </c>
      <c r="AW39">
        <v>45158828</v>
      </c>
      <c r="AX39">
        <v>45188538</v>
      </c>
      <c r="AY39" t="str">
        <f>HYPERLINK("http://genome.ucsc.edu/cgi-bin/hgTracks?clade=vertebrate&amp;org=Human&amp;db=hg19&amp;position=chr16:45150572-45210572")</f>
        <v>http://genome.ucsc.edu/cgi-bin/hgTracks?clade=vertebrate&amp;org=Human&amp;db=hg19&amp;position=chr16:45150572-45210572</v>
      </c>
      <c r="AZ39" t="s">
        <v>49</v>
      </c>
      <c r="BA39" t="s">
        <v>50</v>
      </c>
    </row>
    <row r="40" spans="1:53" x14ac:dyDescent="0.2">
      <c r="A40" t="s">
        <v>90</v>
      </c>
      <c r="B40" t="s">
        <v>54</v>
      </c>
      <c r="C40">
        <v>77463310</v>
      </c>
      <c r="D40">
        <v>5</v>
      </c>
      <c r="AT40" t="s">
        <v>93</v>
      </c>
      <c r="AU40" t="s">
        <v>94</v>
      </c>
      <c r="AV40" t="s">
        <v>54</v>
      </c>
      <c r="AW40">
        <v>77329327</v>
      </c>
      <c r="AX40">
        <v>77558428</v>
      </c>
      <c r="AY40" t="str">
        <f>HYPERLINK("http://genome.ucsc.edu/cgi-bin/hgTracks?clade=vertebrate&amp;org=Human&amp;db=hg19&amp;position=chr16:77433310-77493310")</f>
        <v>http://genome.ucsc.edu/cgi-bin/hgTracks?clade=vertebrate&amp;org=Human&amp;db=hg19&amp;position=chr16:77433310-77493310</v>
      </c>
      <c r="AZ40" t="s">
        <v>49</v>
      </c>
      <c r="BA40" t="s">
        <v>50</v>
      </c>
    </row>
    <row r="41" spans="1:53" x14ac:dyDescent="0.2">
      <c r="A41" t="s">
        <v>90</v>
      </c>
      <c r="B41" t="s">
        <v>54</v>
      </c>
      <c r="C41">
        <v>77463311</v>
      </c>
      <c r="D41">
        <v>26</v>
      </c>
      <c r="AT41" t="s">
        <v>93</v>
      </c>
      <c r="AU41" t="s">
        <v>94</v>
      </c>
      <c r="AV41" t="s">
        <v>54</v>
      </c>
      <c r="AW41">
        <v>77329327</v>
      </c>
      <c r="AX41">
        <v>77558428</v>
      </c>
      <c r="AY41" t="str">
        <f>HYPERLINK("http://genome.ucsc.edu/cgi-bin/hgTracks?clade=vertebrate&amp;org=Human&amp;db=hg19&amp;position=chr16:77433311-77493311")</f>
        <v>http://genome.ucsc.edu/cgi-bin/hgTracks?clade=vertebrate&amp;org=Human&amp;db=hg19&amp;position=chr16:77433311-77493311</v>
      </c>
      <c r="AZ41" t="s">
        <v>49</v>
      </c>
      <c r="BA41" t="s">
        <v>50</v>
      </c>
    </row>
    <row r="42" spans="1:53" x14ac:dyDescent="0.2">
      <c r="A42" t="s">
        <v>90</v>
      </c>
      <c r="B42" t="s">
        <v>54</v>
      </c>
      <c r="C42">
        <v>77463312</v>
      </c>
      <c r="D42">
        <v>1</v>
      </c>
      <c r="AT42" t="s">
        <v>93</v>
      </c>
      <c r="AU42" t="s">
        <v>94</v>
      </c>
      <c r="AV42" t="s">
        <v>54</v>
      </c>
      <c r="AW42">
        <v>77329327</v>
      </c>
      <c r="AX42">
        <v>77558428</v>
      </c>
      <c r="AY42" t="str">
        <f>HYPERLINK("http://genome.ucsc.edu/cgi-bin/hgTracks?clade=vertebrate&amp;org=Human&amp;db=hg19&amp;position=chr16:77433312-77493312")</f>
        <v>http://genome.ucsc.edu/cgi-bin/hgTracks?clade=vertebrate&amp;org=Human&amp;db=hg19&amp;position=chr16:77433312-77493312</v>
      </c>
      <c r="AZ42" t="s">
        <v>49</v>
      </c>
      <c r="BA42" t="s">
        <v>50</v>
      </c>
    </row>
    <row r="43" spans="1:53" x14ac:dyDescent="0.2">
      <c r="A43" t="s">
        <v>90</v>
      </c>
      <c r="B43" t="s">
        <v>54</v>
      </c>
      <c r="C43">
        <v>77463313</v>
      </c>
      <c r="D43">
        <v>93</v>
      </c>
      <c r="AT43" t="s">
        <v>93</v>
      </c>
      <c r="AU43" t="s">
        <v>94</v>
      </c>
      <c r="AV43" t="s">
        <v>54</v>
      </c>
      <c r="AW43">
        <v>77329327</v>
      </c>
      <c r="AX43">
        <v>77558428</v>
      </c>
      <c r="AY43" t="str">
        <f>HYPERLINK("http://genome.ucsc.edu/cgi-bin/hgTracks?clade=vertebrate&amp;org=Human&amp;db=hg19&amp;position=chr16:77433313-77493313")</f>
        <v>http://genome.ucsc.edu/cgi-bin/hgTracks?clade=vertebrate&amp;org=Human&amp;db=hg19&amp;position=chr16:77433313-77493313</v>
      </c>
      <c r="AZ43" t="s">
        <v>49</v>
      </c>
      <c r="BA43" t="s">
        <v>50</v>
      </c>
    </row>
    <row r="44" spans="1:53" x14ac:dyDescent="0.2">
      <c r="A44" t="s">
        <v>90</v>
      </c>
      <c r="B44" t="s">
        <v>54</v>
      </c>
      <c r="C44">
        <v>77463314</v>
      </c>
      <c r="D44">
        <v>1</v>
      </c>
      <c r="AT44" t="s">
        <v>93</v>
      </c>
      <c r="AU44" t="s">
        <v>94</v>
      </c>
      <c r="AV44" t="s">
        <v>54</v>
      </c>
      <c r="AW44">
        <v>77329327</v>
      </c>
      <c r="AX44">
        <v>77558428</v>
      </c>
      <c r="AY44" t="str">
        <f>HYPERLINK("http://genome.ucsc.edu/cgi-bin/hgTracks?clade=vertebrate&amp;org=Human&amp;db=hg19&amp;position=chr16:77433314-77493314")</f>
        <v>http://genome.ucsc.edu/cgi-bin/hgTracks?clade=vertebrate&amp;org=Human&amp;db=hg19&amp;position=chr16:77433314-77493314</v>
      </c>
      <c r="AZ44" t="s">
        <v>49</v>
      </c>
      <c r="BA44" t="s">
        <v>50</v>
      </c>
    </row>
    <row r="45" spans="1:53" x14ac:dyDescent="0.2">
      <c r="A45" t="s">
        <v>90</v>
      </c>
      <c r="B45" t="s">
        <v>46</v>
      </c>
      <c r="C45">
        <v>77534309</v>
      </c>
      <c r="G45">
        <v>1</v>
      </c>
      <c r="AT45" t="s">
        <v>93</v>
      </c>
      <c r="AU45" t="s">
        <v>94</v>
      </c>
      <c r="AV45" t="s">
        <v>54</v>
      </c>
      <c r="AW45">
        <v>77329327</v>
      </c>
      <c r="AX45">
        <v>77558428</v>
      </c>
      <c r="AY45" t="str">
        <f>HYPERLINK("http://genome.ucsc.edu/cgi-bin/hgTracks?clade=vertebrate&amp;org=Human&amp;db=hg19&amp;position=chr16:77504309-77564309")</f>
        <v>http://genome.ucsc.edu/cgi-bin/hgTracks?clade=vertebrate&amp;org=Human&amp;db=hg19&amp;position=chr16:77504309-77564309</v>
      </c>
      <c r="AZ45" t="s">
        <v>49</v>
      </c>
      <c r="BA45" t="s">
        <v>50</v>
      </c>
    </row>
    <row r="46" spans="1:53" x14ac:dyDescent="0.2">
      <c r="A46" t="s">
        <v>90</v>
      </c>
      <c r="B46" t="s">
        <v>46</v>
      </c>
      <c r="C46">
        <v>77534311</v>
      </c>
      <c r="G46">
        <v>135</v>
      </c>
      <c r="AT46" t="s">
        <v>93</v>
      </c>
      <c r="AU46" t="s">
        <v>94</v>
      </c>
      <c r="AV46" t="s">
        <v>54</v>
      </c>
      <c r="AW46">
        <v>77329327</v>
      </c>
      <c r="AX46">
        <v>77558428</v>
      </c>
      <c r="AY46" t="str">
        <f>HYPERLINK("http://genome.ucsc.edu/cgi-bin/hgTracks?clade=vertebrate&amp;org=Human&amp;db=hg19&amp;position=chr16:77504311-77564311")</f>
        <v>http://genome.ucsc.edu/cgi-bin/hgTracks?clade=vertebrate&amp;org=Human&amp;db=hg19&amp;position=chr16:77504311-77564311</v>
      </c>
      <c r="AZ46" t="s">
        <v>49</v>
      </c>
      <c r="BA46" t="s">
        <v>50</v>
      </c>
    </row>
    <row r="47" spans="1:53" x14ac:dyDescent="0.2">
      <c r="A47" t="s">
        <v>95</v>
      </c>
      <c r="B47" t="s">
        <v>46</v>
      </c>
      <c r="C47">
        <v>8253830</v>
      </c>
      <c r="K47">
        <v>1</v>
      </c>
      <c r="AT47" t="s">
        <v>199</v>
      </c>
      <c r="AU47" t="s">
        <v>200</v>
      </c>
      <c r="AV47" t="s">
        <v>54</v>
      </c>
      <c r="AW47">
        <v>8243806</v>
      </c>
      <c r="AX47">
        <v>8257129</v>
      </c>
      <c r="AY47" t="str">
        <f>HYPERLINK("http://genome.ucsc.edu/cgi-bin/hgTracks?clade=vertebrate&amp;org=Human&amp;db=hg19&amp;position=chr17:8223830-8283830")</f>
        <v>http://genome.ucsc.edu/cgi-bin/hgTracks?clade=vertebrate&amp;org=Human&amp;db=hg19&amp;position=chr17:8223830-8283830</v>
      </c>
      <c r="AZ47" t="s">
        <v>49</v>
      </c>
      <c r="BA47" t="s">
        <v>50</v>
      </c>
    </row>
    <row r="48" spans="1:53" x14ac:dyDescent="0.2">
      <c r="A48" t="s">
        <v>95</v>
      </c>
      <c r="B48" t="s">
        <v>54</v>
      </c>
      <c r="C48">
        <v>10286430</v>
      </c>
      <c r="D48">
        <v>2</v>
      </c>
      <c r="AT48" t="s">
        <v>96</v>
      </c>
      <c r="AU48" t="s">
        <v>97</v>
      </c>
      <c r="AV48" t="s">
        <v>46</v>
      </c>
      <c r="AW48">
        <v>10210179</v>
      </c>
      <c r="AX48">
        <v>10319361</v>
      </c>
      <c r="AY48" t="str">
        <f>HYPERLINK("http://genome.ucsc.edu/cgi-bin/hgTracks?clade=vertebrate&amp;org=Human&amp;db=hg19&amp;position=chr17:10256430-10316430")</f>
        <v>http://genome.ucsc.edu/cgi-bin/hgTracks?clade=vertebrate&amp;org=Human&amp;db=hg19&amp;position=chr17:10256430-10316430</v>
      </c>
      <c r="AZ48" t="s">
        <v>49</v>
      </c>
      <c r="BA48" t="s">
        <v>50</v>
      </c>
    </row>
    <row r="49" spans="1:53" x14ac:dyDescent="0.2">
      <c r="A49" t="s">
        <v>95</v>
      </c>
      <c r="B49" t="s">
        <v>54</v>
      </c>
      <c r="C49">
        <v>10286431</v>
      </c>
      <c r="D49">
        <v>117</v>
      </c>
      <c r="AT49" t="s">
        <v>96</v>
      </c>
      <c r="AU49" t="s">
        <v>97</v>
      </c>
      <c r="AV49" t="s">
        <v>46</v>
      </c>
      <c r="AW49">
        <v>10210179</v>
      </c>
      <c r="AX49">
        <v>10319361</v>
      </c>
      <c r="AY49" t="str">
        <f>HYPERLINK("http://genome.ucsc.edu/cgi-bin/hgTracks?clade=vertebrate&amp;org=Human&amp;db=hg19&amp;position=chr17:10256431-10316431")</f>
        <v>http://genome.ucsc.edu/cgi-bin/hgTracks?clade=vertebrate&amp;org=Human&amp;db=hg19&amp;position=chr17:10256431-10316431</v>
      </c>
      <c r="AZ49" t="s">
        <v>49</v>
      </c>
      <c r="BA49" t="s">
        <v>50</v>
      </c>
    </row>
    <row r="50" spans="1:53" x14ac:dyDescent="0.2">
      <c r="A50" t="s">
        <v>95</v>
      </c>
      <c r="B50" t="s">
        <v>46</v>
      </c>
      <c r="C50">
        <v>35713809</v>
      </c>
      <c r="D50">
        <v>117</v>
      </c>
      <c r="AT50" t="s">
        <v>98</v>
      </c>
      <c r="AU50" t="s">
        <v>99</v>
      </c>
      <c r="AV50" t="s">
        <v>46</v>
      </c>
      <c r="AW50">
        <v>35681566</v>
      </c>
      <c r="AX50">
        <v>35704139</v>
      </c>
      <c r="AY50" t="str">
        <f>HYPERLINK("http://genome.ucsc.edu/cgi-bin/hgTracks?clade=vertebrate&amp;org=Human&amp;db=hg19&amp;position=chr17:35683809-35743809")</f>
        <v>http://genome.ucsc.edu/cgi-bin/hgTracks?clade=vertebrate&amp;org=Human&amp;db=hg19&amp;position=chr17:35683809-35743809</v>
      </c>
      <c r="AZ50" t="s">
        <v>55</v>
      </c>
      <c r="BA50">
        <v>9670</v>
      </c>
    </row>
    <row r="51" spans="1:53" x14ac:dyDescent="0.2">
      <c r="A51" t="s">
        <v>95</v>
      </c>
      <c r="B51" t="s">
        <v>46</v>
      </c>
      <c r="C51">
        <v>61770284</v>
      </c>
      <c r="I51">
        <v>2</v>
      </c>
      <c r="AD51">
        <v>225</v>
      </c>
      <c r="AR51">
        <v>1</v>
      </c>
      <c r="AT51" t="s">
        <v>100</v>
      </c>
      <c r="AU51" t="s">
        <v>101</v>
      </c>
      <c r="AV51" t="s">
        <v>46</v>
      </c>
      <c r="AW51">
        <v>62602956</v>
      </c>
      <c r="AX51">
        <v>62881317</v>
      </c>
      <c r="AY51" t="str">
        <f>HYPERLINK("http://genome.ucsc.edu/cgi-bin/hgTracks?clade=vertebrate&amp;org=Human&amp;db=hg19&amp;position=chr17:61740284-61800284")</f>
        <v>http://genome.ucsc.edu/cgi-bin/hgTracks?clade=vertebrate&amp;org=Human&amp;db=hg19&amp;position=chr17:61740284-61800284</v>
      </c>
      <c r="AZ51" t="s">
        <v>55</v>
      </c>
      <c r="BA51">
        <v>832672</v>
      </c>
    </row>
    <row r="52" spans="1:53" x14ac:dyDescent="0.2">
      <c r="A52" t="s">
        <v>102</v>
      </c>
      <c r="B52" t="s">
        <v>54</v>
      </c>
      <c r="C52">
        <v>42565805</v>
      </c>
      <c r="AI52">
        <v>113</v>
      </c>
      <c r="AT52" t="s">
        <v>103</v>
      </c>
      <c r="AU52" t="s">
        <v>104</v>
      </c>
      <c r="AV52" t="s">
        <v>54</v>
      </c>
      <c r="AW52">
        <v>42511486</v>
      </c>
      <c r="AX52">
        <v>42575785</v>
      </c>
      <c r="AY52" t="str">
        <f>HYPERLINK("http://genome.ucsc.edu/cgi-bin/hgTracks?clade=vertebrate&amp;org=Human&amp;db=hg19&amp;position=chr18:42535805-42595805")</f>
        <v>http://genome.ucsc.edu/cgi-bin/hgTracks?clade=vertebrate&amp;org=Human&amp;db=hg19&amp;position=chr18:42535805-42595805</v>
      </c>
      <c r="AZ52" t="s">
        <v>49</v>
      </c>
      <c r="BA52" t="s">
        <v>50</v>
      </c>
    </row>
    <row r="53" spans="1:53" x14ac:dyDescent="0.2">
      <c r="A53" t="s">
        <v>102</v>
      </c>
      <c r="B53" t="s">
        <v>46</v>
      </c>
      <c r="C53">
        <v>49697710</v>
      </c>
      <c r="D53">
        <v>119</v>
      </c>
      <c r="K53">
        <v>1</v>
      </c>
      <c r="AT53" t="s">
        <v>105</v>
      </c>
      <c r="AU53" t="s">
        <v>106</v>
      </c>
      <c r="AV53" t="s">
        <v>46</v>
      </c>
      <c r="AW53">
        <v>49696144</v>
      </c>
      <c r="AX53">
        <v>49755601</v>
      </c>
      <c r="AY53" t="str">
        <f>HYPERLINK("http://genome.ucsc.edu/cgi-bin/hgTracks?clade=vertebrate&amp;org=Human&amp;db=hg19&amp;position=chr18:49667710-49727710")</f>
        <v>http://genome.ucsc.edu/cgi-bin/hgTracks?clade=vertebrate&amp;org=Human&amp;db=hg19&amp;position=chr18:49667710-49727710</v>
      </c>
      <c r="AZ53" t="s">
        <v>49</v>
      </c>
      <c r="BA53" t="s">
        <v>107</v>
      </c>
    </row>
    <row r="54" spans="1:53" x14ac:dyDescent="0.2">
      <c r="A54" t="s">
        <v>108</v>
      </c>
      <c r="B54" t="s">
        <v>54</v>
      </c>
      <c r="C54">
        <v>5878284</v>
      </c>
      <c r="T54">
        <v>1</v>
      </c>
      <c r="AA54">
        <v>1</v>
      </c>
      <c r="AH54">
        <v>90</v>
      </c>
      <c r="AO54">
        <v>1</v>
      </c>
      <c r="AT54" t="s">
        <v>109</v>
      </c>
      <c r="AU54" t="s">
        <v>110</v>
      </c>
      <c r="AV54" t="s">
        <v>46</v>
      </c>
      <c r="AW54">
        <v>5870986</v>
      </c>
      <c r="AX54">
        <v>5895353</v>
      </c>
      <c r="AY54" t="str">
        <f>HYPERLINK("http://genome.ucsc.edu/cgi-bin/hgTracks?clade=vertebrate&amp;org=Human&amp;db=hg19&amp;position=chr2:5848284-5908284")</f>
        <v>http://genome.ucsc.edu/cgi-bin/hgTracks?clade=vertebrate&amp;org=Human&amp;db=hg19&amp;position=chr2:5848284-5908284</v>
      </c>
      <c r="AZ54" t="s">
        <v>49</v>
      </c>
      <c r="BA54" t="s">
        <v>50</v>
      </c>
    </row>
    <row r="55" spans="1:53" x14ac:dyDescent="0.2">
      <c r="A55" t="s">
        <v>108</v>
      </c>
      <c r="B55" t="s">
        <v>46</v>
      </c>
      <c r="C55">
        <v>33695379</v>
      </c>
      <c r="K55">
        <v>1</v>
      </c>
      <c r="S55">
        <v>1</v>
      </c>
      <c r="X55">
        <v>1</v>
      </c>
      <c r="AT55" t="s">
        <v>201</v>
      </c>
      <c r="AU55" t="s">
        <v>202</v>
      </c>
      <c r="AV55" t="s">
        <v>46</v>
      </c>
      <c r="AW55">
        <v>33729955</v>
      </c>
      <c r="AX55">
        <v>33887946</v>
      </c>
      <c r="AY55" t="str">
        <f>HYPERLINK("http://genome.ucsc.edu/cgi-bin/hgTracks?clade=vertebrate&amp;org=Human&amp;db=hg19&amp;position=chr2:33665379-33725379")</f>
        <v>http://genome.ucsc.edu/cgi-bin/hgTracks?clade=vertebrate&amp;org=Human&amp;db=hg19&amp;position=chr2:33665379-33725379</v>
      </c>
      <c r="AZ55" t="s">
        <v>55</v>
      </c>
      <c r="BA55">
        <v>34576</v>
      </c>
    </row>
    <row r="56" spans="1:53" x14ac:dyDescent="0.2">
      <c r="A56" t="s">
        <v>108</v>
      </c>
      <c r="B56" t="s">
        <v>46</v>
      </c>
      <c r="C56">
        <v>83826019</v>
      </c>
      <c r="E56">
        <v>2</v>
      </c>
      <c r="AT56" t="s">
        <v>111</v>
      </c>
      <c r="AU56" t="s">
        <v>112</v>
      </c>
      <c r="AV56" t="s">
        <v>54</v>
      </c>
      <c r="AW56">
        <v>83812727</v>
      </c>
      <c r="AX56">
        <v>83881358</v>
      </c>
      <c r="AY56" t="str">
        <f>HYPERLINK("http://genome.ucsc.edu/cgi-bin/hgTracks?clade=vertebrate&amp;org=Human&amp;db=hg19&amp;position=chr2:83796019-83856019")</f>
        <v>http://genome.ucsc.edu/cgi-bin/hgTracks?clade=vertebrate&amp;org=Human&amp;db=hg19&amp;position=chr2:83796019-83856019</v>
      </c>
      <c r="AZ56" t="s">
        <v>49</v>
      </c>
      <c r="BA56" t="s">
        <v>50</v>
      </c>
    </row>
    <row r="57" spans="1:53" x14ac:dyDescent="0.2">
      <c r="A57" t="s">
        <v>108</v>
      </c>
      <c r="B57" t="s">
        <v>46</v>
      </c>
      <c r="C57">
        <v>83826025</v>
      </c>
      <c r="E57">
        <v>2</v>
      </c>
      <c r="AT57" t="s">
        <v>111</v>
      </c>
      <c r="AU57" t="s">
        <v>112</v>
      </c>
      <c r="AV57" t="s">
        <v>54</v>
      </c>
      <c r="AW57">
        <v>83812727</v>
      </c>
      <c r="AX57">
        <v>83881358</v>
      </c>
      <c r="AY57" t="str">
        <f>HYPERLINK("http://genome.ucsc.edu/cgi-bin/hgTracks?clade=vertebrate&amp;org=Human&amp;db=hg19&amp;position=chr2:83796025-83856025")</f>
        <v>http://genome.ucsc.edu/cgi-bin/hgTracks?clade=vertebrate&amp;org=Human&amp;db=hg19&amp;position=chr2:83796025-83856025</v>
      </c>
      <c r="AZ57" t="s">
        <v>49</v>
      </c>
      <c r="BA57" t="s">
        <v>50</v>
      </c>
    </row>
    <row r="58" spans="1:53" x14ac:dyDescent="0.2">
      <c r="A58" t="s">
        <v>108</v>
      </c>
      <c r="B58" t="s">
        <v>46</v>
      </c>
      <c r="C58">
        <v>83826027</v>
      </c>
      <c r="E58">
        <v>83</v>
      </c>
      <c r="AT58" t="s">
        <v>111</v>
      </c>
      <c r="AU58" t="s">
        <v>112</v>
      </c>
      <c r="AV58" t="s">
        <v>54</v>
      </c>
      <c r="AW58">
        <v>83812727</v>
      </c>
      <c r="AX58">
        <v>83881358</v>
      </c>
      <c r="AY58" t="str">
        <f>HYPERLINK("http://genome.ucsc.edu/cgi-bin/hgTracks?clade=vertebrate&amp;org=Human&amp;db=hg19&amp;position=chr2:83796027-83856027")</f>
        <v>http://genome.ucsc.edu/cgi-bin/hgTracks?clade=vertebrate&amp;org=Human&amp;db=hg19&amp;position=chr2:83796027-83856027</v>
      </c>
      <c r="AZ58" t="s">
        <v>49</v>
      </c>
      <c r="BA58" t="s">
        <v>50</v>
      </c>
    </row>
    <row r="59" spans="1:53" x14ac:dyDescent="0.2">
      <c r="A59" t="s">
        <v>108</v>
      </c>
      <c r="B59" t="s">
        <v>46</v>
      </c>
      <c r="C59">
        <v>83826029</v>
      </c>
      <c r="E59">
        <v>11</v>
      </c>
      <c r="AT59" t="s">
        <v>111</v>
      </c>
      <c r="AU59" t="s">
        <v>112</v>
      </c>
      <c r="AV59" t="s">
        <v>54</v>
      </c>
      <c r="AW59">
        <v>83812727</v>
      </c>
      <c r="AX59">
        <v>83881358</v>
      </c>
      <c r="AY59" t="str">
        <f>HYPERLINK("http://genome.ucsc.edu/cgi-bin/hgTracks?clade=vertebrate&amp;org=Human&amp;db=hg19&amp;position=chr2:83796029-83856029")</f>
        <v>http://genome.ucsc.edu/cgi-bin/hgTracks?clade=vertebrate&amp;org=Human&amp;db=hg19&amp;position=chr2:83796029-83856029</v>
      </c>
      <c r="AZ59" t="s">
        <v>49</v>
      </c>
      <c r="BA59" t="s">
        <v>50</v>
      </c>
    </row>
    <row r="60" spans="1:53" x14ac:dyDescent="0.2">
      <c r="A60" t="s">
        <v>108</v>
      </c>
      <c r="B60" t="s">
        <v>46</v>
      </c>
      <c r="C60">
        <v>83826031</v>
      </c>
      <c r="E60">
        <v>7</v>
      </c>
      <c r="AT60" t="s">
        <v>111</v>
      </c>
      <c r="AU60" t="s">
        <v>112</v>
      </c>
      <c r="AV60" t="s">
        <v>54</v>
      </c>
      <c r="AW60">
        <v>83812727</v>
      </c>
      <c r="AX60">
        <v>83881358</v>
      </c>
      <c r="AY60" t="str">
        <f>HYPERLINK("http://genome.ucsc.edu/cgi-bin/hgTracks?clade=vertebrate&amp;org=Human&amp;db=hg19&amp;position=chr2:83796031-83856031")</f>
        <v>http://genome.ucsc.edu/cgi-bin/hgTracks?clade=vertebrate&amp;org=Human&amp;db=hg19&amp;position=chr2:83796031-83856031</v>
      </c>
      <c r="AZ60" t="s">
        <v>49</v>
      </c>
      <c r="BA60" t="s">
        <v>50</v>
      </c>
    </row>
    <row r="61" spans="1:53" x14ac:dyDescent="0.2">
      <c r="A61" t="s">
        <v>108</v>
      </c>
      <c r="B61" t="s">
        <v>46</v>
      </c>
      <c r="C61">
        <v>83826033</v>
      </c>
      <c r="E61">
        <v>4</v>
      </c>
      <c r="AT61" t="s">
        <v>111</v>
      </c>
      <c r="AU61" t="s">
        <v>112</v>
      </c>
      <c r="AV61" t="s">
        <v>54</v>
      </c>
      <c r="AW61">
        <v>83812727</v>
      </c>
      <c r="AX61">
        <v>83881358</v>
      </c>
      <c r="AY61" t="str">
        <f>HYPERLINK("http://genome.ucsc.edu/cgi-bin/hgTracks?clade=vertebrate&amp;org=Human&amp;db=hg19&amp;position=chr2:83796033-83856033")</f>
        <v>http://genome.ucsc.edu/cgi-bin/hgTracks?clade=vertebrate&amp;org=Human&amp;db=hg19&amp;position=chr2:83796033-83856033</v>
      </c>
      <c r="AZ61" t="s">
        <v>49</v>
      </c>
      <c r="BA61" t="s">
        <v>50</v>
      </c>
    </row>
    <row r="62" spans="1:53" x14ac:dyDescent="0.2">
      <c r="A62" t="s">
        <v>108</v>
      </c>
      <c r="B62" t="s">
        <v>46</v>
      </c>
      <c r="C62">
        <v>95558327</v>
      </c>
      <c r="D62">
        <v>129</v>
      </c>
      <c r="AT62" t="s">
        <v>113</v>
      </c>
      <c r="AU62" t="s">
        <v>114</v>
      </c>
      <c r="AV62" t="s">
        <v>54</v>
      </c>
      <c r="AW62">
        <v>96318168</v>
      </c>
      <c r="AX62">
        <v>97631664</v>
      </c>
      <c r="AY62" t="str">
        <f>HYPERLINK("http://genome.ucsc.edu/cgi-bin/hgTracks?clade=vertebrate&amp;org=Human&amp;db=hg19&amp;position=chr2:95528327-95588327")</f>
        <v>http://genome.ucsc.edu/cgi-bin/hgTracks?clade=vertebrate&amp;org=Human&amp;db=hg19&amp;position=chr2:95528327-95588327</v>
      </c>
      <c r="AZ62" t="s">
        <v>55</v>
      </c>
      <c r="BA62">
        <v>759841</v>
      </c>
    </row>
    <row r="63" spans="1:53" x14ac:dyDescent="0.2">
      <c r="A63" t="s">
        <v>108</v>
      </c>
      <c r="B63" t="s">
        <v>46</v>
      </c>
      <c r="C63">
        <v>95558328</v>
      </c>
      <c r="D63">
        <v>2</v>
      </c>
      <c r="AT63" t="s">
        <v>113</v>
      </c>
      <c r="AU63" t="s">
        <v>114</v>
      </c>
      <c r="AV63" t="s">
        <v>54</v>
      </c>
      <c r="AW63">
        <v>96318168</v>
      </c>
      <c r="AX63">
        <v>97631664</v>
      </c>
      <c r="AY63" t="str">
        <f>HYPERLINK("http://genome.ucsc.edu/cgi-bin/hgTracks?clade=vertebrate&amp;org=Human&amp;db=hg19&amp;position=chr2:95528328-95588328")</f>
        <v>http://genome.ucsc.edu/cgi-bin/hgTracks?clade=vertebrate&amp;org=Human&amp;db=hg19&amp;position=chr2:95528328-95588328</v>
      </c>
      <c r="AZ63" t="s">
        <v>55</v>
      </c>
      <c r="BA63">
        <v>759840</v>
      </c>
    </row>
    <row r="64" spans="1:53" x14ac:dyDescent="0.2">
      <c r="A64" t="s">
        <v>108</v>
      </c>
      <c r="B64" t="s">
        <v>46</v>
      </c>
      <c r="C64">
        <v>98662453</v>
      </c>
      <c r="E64">
        <v>1</v>
      </c>
      <c r="AT64" t="s">
        <v>113</v>
      </c>
      <c r="AU64" t="s">
        <v>203</v>
      </c>
      <c r="AV64" t="s">
        <v>54</v>
      </c>
      <c r="AW64">
        <v>97467656</v>
      </c>
      <c r="AX64">
        <v>97631664</v>
      </c>
      <c r="AY64" t="str">
        <f>HYPERLINK("http://genome.ucsc.edu/cgi-bin/hgTracks?clade=vertebrate&amp;org=Human&amp;db=hg19&amp;position=chr2:98632453-98692453")</f>
        <v>http://genome.ucsc.edu/cgi-bin/hgTracks?clade=vertebrate&amp;org=Human&amp;db=hg19&amp;position=chr2:98632453-98692453</v>
      </c>
      <c r="AZ64" t="s">
        <v>55</v>
      </c>
      <c r="BA64">
        <v>1030789</v>
      </c>
    </row>
    <row r="65" spans="1:53" x14ac:dyDescent="0.2">
      <c r="A65" t="s">
        <v>108</v>
      </c>
      <c r="B65" t="s">
        <v>54</v>
      </c>
      <c r="C65">
        <v>98662721</v>
      </c>
      <c r="E65">
        <v>3</v>
      </c>
      <c r="AT65" t="s">
        <v>113</v>
      </c>
      <c r="AU65" t="s">
        <v>203</v>
      </c>
      <c r="AV65" t="s">
        <v>54</v>
      </c>
      <c r="AW65">
        <v>97467656</v>
      </c>
      <c r="AX65">
        <v>97631664</v>
      </c>
      <c r="AY65" t="str">
        <f>HYPERLINK("http://genome.ucsc.edu/cgi-bin/hgTracks?clade=vertebrate&amp;org=Human&amp;db=hg19&amp;position=chr2:98632721-98692721")</f>
        <v>http://genome.ucsc.edu/cgi-bin/hgTracks?clade=vertebrate&amp;org=Human&amp;db=hg19&amp;position=chr2:98632721-98692721</v>
      </c>
      <c r="AZ65" t="s">
        <v>55</v>
      </c>
      <c r="BA65">
        <v>1031057</v>
      </c>
    </row>
    <row r="66" spans="1:53" x14ac:dyDescent="0.2">
      <c r="A66" t="s">
        <v>108</v>
      </c>
      <c r="B66" t="s">
        <v>54</v>
      </c>
      <c r="C66">
        <v>98666913</v>
      </c>
      <c r="I66">
        <v>1</v>
      </c>
      <c r="S66">
        <v>1</v>
      </c>
      <c r="X66">
        <v>1</v>
      </c>
      <c r="AT66" t="s">
        <v>113</v>
      </c>
      <c r="AU66" t="s">
        <v>203</v>
      </c>
      <c r="AV66" t="s">
        <v>54</v>
      </c>
      <c r="AW66">
        <v>97467656</v>
      </c>
      <c r="AX66">
        <v>97631664</v>
      </c>
      <c r="AY66" t="str">
        <f>HYPERLINK("http://genome.ucsc.edu/cgi-bin/hgTracks?clade=vertebrate&amp;org=Human&amp;db=hg19&amp;position=chr2:98636913-98696913")</f>
        <v>http://genome.ucsc.edu/cgi-bin/hgTracks?clade=vertebrate&amp;org=Human&amp;db=hg19&amp;position=chr2:98636913-98696913</v>
      </c>
      <c r="AZ66" t="s">
        <v>55</v>
      </c>
      <c r="BA66">
        <v>1035249</v>
      </c>
    </row>
    <row r="67" spans="1:53" x14ac:dyDescent="0.2">
      <c r="A67" t="s">
        <v>108</v>
      </c>
      <c r="B67" t="s">
        <v>54</v>
      </c>
      <c r="C67">
        <v>98667152</v>
      </c>
      <c r="E67">
        <v>1</v>
      </c>
      <c r="AT67" t="s">
        <v>113</v>
      </c>
      <c r="AU67" t="s">
        <v>203</v>
      </c>
      <c r="AV67" t="s">
        <v>54</v>
      </c>
      <c r="AW67">
        <v>97467656</v>
      </c>
      <c r="AX67">
        <v>97631664</v>
      </c>
      <c r="AY67" t="str">
        <f>HYPERLINK("http://genome.ucsc.edu/cgi-bin/hgTracks?clade=vertebrate&amp;org=Human&amp;db=hg19&amp;position=chr2:98637152-98697152")</f>
        <v>http://genome.ucsc.edu/cgi-bin/hgTracks?clade=vertebrate&amp;org=Human&amp;db=hg19&amp;position=chr2:98637152-98697152</v>
      </c>
      <c r="AZ67" t="s">
        <v>55</v>
      </c>
      <c r="BA67">
        <v>1035488</v>
      </c>
    </row>
    <row r="68" spans="1:53" x14ac:dyDescent="0.2">
      <c r="A68" t="s">
        <v>108</v>
      </c>
      <c r="B68" t="s">
        <v>54</v>
      </c>
      <c r="C68">
        <v>98667164</v>
      </c>
      <c r="K68">
        <v>1</v>
      </c>
      <c r="AT68" t="s">
        <v>113</v>
      </c>
      <c r="AU68" t="s">
        <v>203</v>
      </c>
      <c r="AV68" t="s">
        <v>54</v>
      </c>
      <c r="AW68">
        <v>97467656</v>
      </c>
      <c r="AX68">
        <v>97631664</v>
      </c>
      <c r="AY68" t="str">
        <f>HYPERLINK("http://genome.ucsc.edu/cgi-bin/hgTracks?clade=vertebrate&amp;org=Human&amp;db=hg19&amp;position=chr2:98637164-98697164")</f>
        <v>http://genome.ucsc.edu/cgi-bin/hgTracks?clade=vertebrate&amp;org=Human&amp;db=hg19&amp;position=chr2:98637164-98697164</v>
      </c>
      <c r="AZ68" t="s">
        <v>55</v>
      </c>
      <c r="BA68">
        <v>1035500</v>
      </c>
    </row>
    <row r="69" spans="1:53" x14ac:dyDescent="0.2">
      <c r="A69" t="s">
        <v>108</v>
      </c>
      <c r="B69" t="s">
        <v>46</v>
      </c>
      <c r="C69">
        <v>98667286</v>
      </c>
      <c r="G69">
        <v>1</v>
      </c>
      <c r="AT69" t="s">
        <v>113</v>
      </c>
      <c r="AU69" t="s">
        <v>203</v>
      </c>
      <c r="AV69" t="s">
        <v>54</v>
      </c>
      <c r="AW69">
        <v>97467656</v>
      </c>
      <c r="AX69">
        <v>97631664</v>
      </c>
      <c r="AY69" t="str">
        <f>HYPERLINK("http://genome.ucsc.edu/cgi-bin/hgTracks?clade=vertebrate&amp;org=Human&amp;db=hg19&amp;position=chr2:98637286-98697286")</f>
        <v>http://genome.ucsc.edu/cgi-bin/hgTracks?clade=vertebrate&amp;org=Human&amp;db=hg19&amp;position=chr2:98637286-98697286</v>
      </c>
      <c r="AZ69" t="s">
        <v>55</v>
      </c>
      <c r="BA69">
        <v>1035622</v>
      </c>
    </row>
    <row r="70" spans="1:53" x14ac:dyDescent="0.2">
      <c r="A70" t="s">
        <v>108</v>
      </c>
      <c r="B70" t="s">
        <v>46</v>
      </c>
      <c r="C70">
        <v>98667287</v>
      </c>
      <c r="G70">
        <v>9</v>
      </c>
      <c r="AT70" t="s">
        <v>113</v>
      </c>
      <c r="AU70" t="s">
        <v>203</v>
      </c>
      <c r="AV70" t="s">
        <v>54</v>
      </c>
      <c r="AW70">
        <v>97467656</v>
      </c>
      <c r="AX70">
        <v>97631664</v>
      </c>
      <c r="AY70" t="str">
        <f>HYPERLINK("http://genome.ucsc.edu/cgi-bin/hgTracks?clade=vertebrate&amp;org=Human&amp;db=hg19&amp;position=chr2:98637287-98697287")</f>
        <v>http://genome.ucsc.edu/cgi-bin/hgTracks?clade=vertebrate&amp;org=Human&amp;db=hg19&amp;position=chr2:98637287-98697287</v>
      </c>
      <c r="AZ70" t="s">
        <v>55</v>
      </c>
      <c r="BA70">
        <v>1035623</v>
      </c>
    </row>
    <row r="71" spans="1:53" x14ac:dyDescent="0.2">
      <c r="A71" t="s">
        <v>108</v>
      </c>
      <c r="B71" t="s">
        <v>54</v>
      </c>
      <c r="C71">
        <v>110142078</v>
      </c>
      <c r="G71">
        <v>4</v>
      </c>
      <c r="AT71" t="s">
        <v>115</v>
      </c>
      <c r="AU71" t="s">
        <v>116</v>
      </c>
      <c r="AV71" t="s">
        <v>46</v>
      </c>
      <c r="AW71">
        <v>110031249</v>
      </c>
      <c r="AX71">
        <v>110050479</v>
      </c>
      <c r="AY71" t="str">
        <f>HYPERLINK("http://genome.ucsc.edu/cgi-bin/hgTracks?clade=vertebrate&amp;org=Human&amp;db=hg19&amp;position=chr2:110112078-110172078")</f>
        <v>http://genome.ucsc.edu/cgi-bin/hgTracks?clade=vertebrate&amp;org=Human&amp;db=hg19&amp;position=chr2:110112078-110172078</v>
      </c>
      <c r="AZ71" t="s">
        <v>55</v>
      </c>
      <c r="BA71">
        <v>91599</v>
      </c>
    </row>
    <row r="72" spans="1:53" x14ac:dyDescent="0.2">
      <c r="A72" t="s">
        <v>108</v>
      </c>
      <c r="B72" t="s">
        <v>54</v>
      </c>
      <c r="C72">
        <v>110142079</v>
      </c>
      <c r="G72">
        <v>97</v>
      </c>
      <c r="AT72" t="s">
        <v>115</v>
      </c>
      <c r="AU72" t="s">
        <v>116</v>
      </c>
      <c r="AV72" t="s">
        <v>46</v>
      </c>
      <c r="AW72">
        <v>110031249</v>
      </c>
      <c r="AX72">
        <v>110050479</v>
      </c>
      <c r="AY72" t="str">
        <f>HYPERLINK("http://genome.ucsc.edu/cgi-bin/hgTracks?clade=vertebrate&amp;org=Human&amp;db=hg19&amp;position=chr2:110112079-110172079")</f>
        <v>http://genome.ucsc.edu/cgi-bin/hgTracks?clade=vertebrate&amp;org=Human&amp;db=hg19&amp;position=chr2:110112079-110172079</v>
      </c>
      <c r="AZ72" t="s">
        <v>55</v>
      </c>
      <c r="BA72">
        <v>91600</v>
      </c>
    </row>
    <row r="73" spans="1:53" x14ac:dyDescent="0.2">
      <c r="A73" t="s">
        <v>108</v>
      </c>
      <c r="B73" t="s">
        <v>54</v>
      </c>
      <c r="C73">
        <v>112383778</v>
      </c>
      <c r="O73">
        <v>3</v>
      </c>
      <c r="AT73" t="s">
        <v>117</v>
      </c>
      <c r="AU73" t="s">
        <v>118</v>
      </c>
      <c r="AV73" t="s">
        <v>54</v>
      </c>
      <c r="AW73">
        <v>112379210</v>
      </c>
      <c r="AX73">
        <v>112414237</v>
      </c>
      <c r="AY73" t="str">
        <f>HYPERLINK("http://genome.ucsc.edu/cgi-bin/hgTracks?clade=vertebrate&amp;org=Human&amp;db=hg19&amp;position=chr2:112353778-112413778")</f>
        <v>http://genome.ucsc.edu/cgi-bin/hgTracks?clade=vertebrate&amp;org=Human&amp;db=hg19&amp;position=chr2:112353778-112413778</v>
      </c>
      <c r="AZ73" t="s">
        <v>49</v>
      </c>
      <c r="BA73" t="s">
        <v>50</v>
      </c>
    </row>
    <row r="74" spans="1:53" x14ac:dyDescent="0.2">
      <c r="A74" t="s">
        <v>108</v>
      </c>
      <c r="B74" t="s">
        <v>54</v>
      </c>
      <c r="C74">
        <v>112383779</v>
      </c>
      <c r="O74">
        <v>122</v>
      </c>
      <c r="V74">
        <v>1</v>
      </c>
      <c r="AT74" t="s">
        <v>117</v>
      </c>
      <c r="AU74" t="s">
        <v>118</v>
      </c>
      <c r="AV74" t="s">
        <v>54</v>
      </c>
      <c r="AW74">
        <v>112379210</v>
      </c>
      <c r="AX74">
        <v>112414237</v>
      </c>
      <c r="AY74" t="str">
        <f>HYPERLINK("http://genome.ucsc.edu/cgi-bin/hgTracks?clade=vertebrate&amp;org=Human&amp;db=hg19&amp;position=chr2:112353779-112413779")</f>
        <v>http://genome.ucsc.edu/cgi-bin/hgTracks?clade=vertebrate&amp;org=Human&amp;db=hg19&amp;position=chr2:112353779-112413779</v>
      </c>
      <c r="AZ74" t="s">
        <v>49</v>
      </c>
      <c r="BA74" t="s">
        <v>50</v>
      </c>
    </row>
    <row r="75" spans="1:53" x14ac:dyDescent="0.2">
      <c r="A75" t="s">
        <v>108</v>
      </c>
      <c r="B75" t="s">
        <v>54</v>
      </c>
      <c r="C75">
        <v>154805268</v>
      </c>
      <c r="F75">
        <v>103</v>
      </c>
      <c r="AT75" t="s">
        <v>119</v>
      </c>
      <c r="AU75" t="s">
        <v>120</v>
      </c>
      <c r="AV75" t="s">
        <v>54</v>
      </c>
      <c r="AW75">
        <v>154791109</v>
      </c>
      <c r="AX75">
        <v>154867261</v>
      </c>
      <c r="AY75" t="str">
        <f>HYPERLINK("http://genome.ucsc.edu/cgi-bin/hgTracks?clade=vertebrate&amp;org=Human&amp;db=hg19&amp;position=chr2:154775268-154835268")</f>
        <v>http://genome.ucsc.edu/cgi-bin/hgTracks?clade=vertebrate&amp;org=Human&amp;db=hg19&amp;position=chr2:154775268-154835268</v>
      </c>
      <c r="AZ75" t="s">
        <v>49</v>
      </c>
      <c r="BA75" t="s">
        <v>50</v>
      </c>
    </row>
    <row r="76" spans="1:53" x14ac:dyDescent="0.2">
      <c r="A76" t="s">
        <v>108</v>
      </c>
      <c r="B76" t="s">
        <v>46</v>
      </c>
      <c r="C76">
        <v>156176999</v>
      </c>
      <c r="D76">
        <v>30</v>
      </c>
      <c r="E76">
        <v>8</v>
      </c>
      <c r="F76">
        <v>5</v>
      </c>
      <c r="G76">
        <v>1</v>
      </c>
      <c r="H76">
        <v>3</v>
      </c>
      <c r="I76">
        <v>19</v>
      </c>
      <c r="J76">
        <v>12</v>
      </c>
      <c r="K76">
        <v>10</v>
      </c>
      <c r="P76">
        <v>1</v>
      </c>
      <c r="R76">
        <v>11</v>
      </c>
      <c r="S76">
        <v>16</v>
      </c>
      <c r="U76">
        <v>2</v>
      </c>
      <c r="V76">
        <v>1</v>
      </c>
      <c r="W76">
        <v>1</v>
      </c>
      <c r="AC76">
        <v>1</v>
      </c>
      <c r="AE76">
        <v>2</v>
      </c>
      <c r="AF76">
        <v>1</v>
      </c>
      <c r="AJ76">
        <v>192</v>
      </c>
      <c r="AK76">
        <v>149</v>
      </c>
      <c r="AL76">
        <v>27</v>
      </c>
      <c r="AN76">
        <v>155</v>
      </c>
      <c r="AP76">
        <v>113</v>
      </c>
      <c r="AQ76">
        <v>191</v>
      </c>
      <c r="AR76">
        <v>117</v>
      </c>
      <c r="AT76" t="s">
        <v>121</v>
      </c>
      <c r="AU76" t="s">
        <v>122</v>
      </c>
      <c r="AV76" t="s">
        <v>46</v>
      </c>
      <c r="AW76">
        <v>156147240</v>
      </c>
      <c r="AX76">
        <v>156180238</v>
      </c>
      <c r="AY76" t="str">
        <f>HYPERLINK("http://genome.ucsc.edu/cgi-bin/hgTracks?clade=vertebrate&amp;org=Human&amp;db=hg19&amp;position=chr2:156146999-156206999")</f>
        <v>http://genome.ucsc.edu/cgi-bin/hgTracks?clade=vertebrate&amp;org=Human&amp;db=hg19&amp;position=chr2:156146999-156206999</v>
      </c>
      <c r="AZ76" t="s">
        <v>49</v>
      </c>
      <c r="BA76" t="s">
        <v>50</v>
      </c>
    </row>
    <row r="77" spans="1:53" x14ac:dyDescent="0.2">
      <c r="A77" t="s">
        <v>108</v>
      </c>
      <c r="B77" t="s">
        <v>46</v>
      </c>
      <c r="C77">
        <v>165875728</v>
      </c>
      <c r="X77">
        <v>1</v>
      </c>
      <c r="AE77">
        <v>123</v>
      </c>
      <c r="AT77" t="s">
        <v>123</v>
      </c>
      <c r="AU77" t="s">
        <v>124</v>
      </c>
      <c r="AV77" t="s">
        <v>46</v>
      </c>
      <c r="AW77">
        <v>165784151</v>
      </c>
      <c r="AX77">
        <v>165878437</v>
      </c>
      <c r="AY77" t="str">
        <f>HYPERLINK("http://genome.ucsc.edu/cgi-bin/hgTracks?clade=vertebrate&amp;org=Human&amp;db=hg19&amp;position=chr2:165845728-165905728")</f>
        <v>http://genome.ucsc.edu/cgi-bin/hgTracks?clade=vertebrate&amp;org=Human&amp;db=hg19&amp;position=chr2:165845728-165905728</v>
      </c>
      <c r="AZ77" t="s">
        <v>49</v>
      </c>
      <c r="BA77" t="s">
        <v>107</v>
      </c>
    </row>
    <row r="78" spans="1:53" x14ac:dyDescent="0.2">
      <c r="A78" t="s">
        <v>125</v>
      </c>
      <c r="B78" t="s">
        <v>46</v>
      </c>
      <c r="C78">
        <v>4812619</v>
      </c>
      <c r="G78">
        <v>1</v>
      </c>
      <c r="AB78">
        <v>151</v>
      </c>
      <c r="AT78" t="s">
        <v>126</v>
      </c>
      <c r="AU78" t="s">
        <v>127</v>
      </c>
      <c r="AV78" t="s">
        <v>54</v>
      </c>
      <c r="AW78">
        <v>4798707</v>
      </c>
      <c r="AX78">
        <v>4814911</v>
      </c>
      <c r="AY78" t="str">
        <f>HYPERLINK("http://genome.ucsc.edu/cgi-bin/hgTracks?clade=vertebrate&amp;org=Human&amp;db=hg19&amp;position=chr3:4782619-4842619")</f>
        <v>http://genome.ucsc.edu/cgi-bin/hgTracks?clade=vertebrate&amp;org=Human&amp;db=hg19&amp;position=chr3:4782619-4842619</v>
      </c>
      <c r="AZ78" t="s">
        <v>49</v>
      </c>
      <c r="BA78" t="s">
        <v>50</v>
      </c>
    </row>
    <row r="79" spans="1:53" x14ac:dyDescent="0.2">
      <c r="A79" t="s">
        <v>125</v>
      </c>
      <c r="B79" t="s">
        <v>46</v>
      </c>
      <c r="C79">
        <v>42169334</v>
      </c>
      <c r="F79">
        <v>1</v>
      </c>
      <c r="AT79" t="s">
        <v>204</v>
      </c>
      <c r="AU79" t="s">
        <v>205</v>
      </c>
      <c r="AV79" t="s">
        <v>54</v>
      </c>
      <c r="AW79">
        <v>41742614</v>
      </c>
      <c r="AX79">
        <v>41758941</v>
      </c>
      <c r="AY79" t="str">
        <f>HYPERLINK("http://genome.ucsc.edu/cgi-bin/hgTracks?clade=vertebrate&amp;org=Human&amp;db=hg19&amp;position=chr3:42139334-42199334")</f>
        <v>http://genome.ucsc.edu/cgi-bin/hgTracks?clade=vertebrate&amp;org=Human&amp;db=hg19&amp;position=chr3:42139334-42199334</v>
      </c>
      <c r="AZ79" t="s">
        <v>55</v>
      </c>
      <c r="BA79">
        <v>410393</v>
      </c>
    </row>
    <row r="80" spans="1:53" x14ac:dyDescent="0.2">
      <c r="A80" t="s">
        <v>125</v>
      </c>
      <c r="B80" t="s">
        <v>54</v>
      </c>
      <c r="C80">
        <v>69010664</v>
      </c>
      <c r="R80">
        <v>1</v>
      </c>
      <c r="AF80">
        <v>195</v>
      </c>
      <c r="AI80">
        <v>1</v>
      </c>
      <c r="AT80" t="s">
        <v>128</v>
      </c>
      <c r="AU80" t="s">
        <v>129</v>
      </c>
      <c r="AV80" t="s">
        <v>54</v>
      </c>
      <c r="AW80">
        <v>69004971</v>
      </c>
      <c r="AX80">
        <v>69034623</v>
      </c>
      <c r="AY80" t="str">
        <f>HYPERLINK("http://genome.ucsc.edu/cgi-bin/hgTracks?clade=vertebrate&amp;org=Human&amp;db=hg19&amp;position=chr3:68980664-69040664")</f>
        <v>http://genome.ucsc.edu/cgi-bin/hgTracks?clade=vertebrate&amp;org=Human&amp;db=hg19&amp;position=chr3:68980664-69040664</v>
      </c>
      <c r="AZ80" t="s">
        <v>49</v>
      </c>
      <c r="BA80" t="s">
        <v>50</v>
      </c>
    </row>
    <row r="81" spans="1:53" x14ac:dyDescent="0.2">
      <c r="A81" t="s">
        <v>125</v>
      </c>
      <c r="B81" t="s">
        <v>54</v>
      </c>
      <c r="C81">
        <v>69010665</v>
      </c>
      <c r="R81">
        <v>1</v>
      </c>
      <c r="AT81" t="s">
        <v>128</v>
      </c>
      <c r="AU81" t="s">
        <v>129</v>
      </c>
      <c r="AV81" t="s">
        <v>54</v>
      </c>
      <c r="AW81">
        <v>69004971</v>
      </c>
      <c r="AX81">
        <v>69034623</v>
      </c>
      <c r="AY81" t="str">
        <f>HYPERLINK("http://genome.ucsc.edu/cgi-bin/hgTracks?clade=vertebrate&amp;org=Human&amp;db=hg19&amp;position=chr3:68980665-69040665")</f>
        <v>http://genome.ucsc.edu/cgi-bin/hgTracks?clade=vertebrate&amp;org=Human&amp;db=hg19&amp;position=chr3:68980665-69040665</v>
      </c>
      <c r="AZ81" t="s">
        <v>49</v>
      </c>
      <c r="BA81" t="s">
        <v>50</v>
      </c>
    </row>
    <row r="82" spans="1:53" x14ac:dyDescent="0.2">
      <c r="A82" t="s">
        <v>125</v>
      </c>
      <c r="B82" t="s">
        <v>54</v>
      </c>
      <c r="C82">
        <v>93007918</v>
      </c>
      <c r="E82">
        <v>123</v>
      </c>
      <c r="AT82" t="s">
        <v>130</v>
      </c>
      <c r="AU82" t="s">
        <v>131</v>
      </c>
      <c r="AV82" t="s">
        <v>46</v>
      </c>
      <c r="AW82">
        <v>93014204</v>
      </c>
      <c r="AX82">
        <v>93015686</v>
      </c>
      <c r="AY82" t="str">
        <f>HYPERLINK("http://genome.ucsc.edu/cgi-bin/hgTracks?clade=vertebrate&amp;org=Human&amp;db=hg19&amp;position=chr3:92977918-93037918")</f>
        <v>http://genome.ucsc.edu/cgi-bin/hgTracks?clade=vertebrate&amp;org=Human&amp;db=hg19&amp;position=chr3:92977918-93037918</v>
      </c>
      <c r="AZ82" t="s">
        <v>55</v>
      </c>
      <c r="BA82">
        <v>6286</v>
      </c>
    </row>
    <row r="83" spans="1:53" x14ac:dyDescent="0.2">
      <c r="A83" t="s">
        <v>125</v>
      </c>
      <c r="B83" t="s">
        <v>54</v>
      </c>
      <c r="C83">
        <v>99336712</v>
      </c>
      <c r="S83">
        <v>1</v>
      </c>
      <c r="AT83" t="s">
        <v>174</v>
      </c>
      <c r="AU83" t="s">
        <v>175</v>
      </c>
      <c r="AV83" t="s">
        <v>54</v>
      </c>
      <c r="AW83">
        <v>99253759</v>
      </c>
      <c r="AX83">
        <v>99354260</v>
      </c>
      <c r="AY83" t="str">
        <f>HYPERLINK("http://genome.ucsc.edu/cgi-bin/hgTracks?clade=vertebrate&amp;org=Human&amp;db=hg19&amp;position=chr3:99306712-99366712")</f>
        <v>http://genome.ucsc.edu/cgi-bin/hgTracks?clade=vertebrate&amp;org=Human&amp;db=hg19&amp;position=chr3:99306712-99366712</v>
      </c>
      <c r="AZ83" t="s">
        <v>49</v>
      </c>
      <c r="BA83" t="s">
        <v>50</v>
      </c>
    </row>
    <row r="84" spans="1:53" x14ac:dyDescent="0.2">
      <c r="A84" t="s">
        <v>125</v>
      </c>
      <c r="B84" t="s">
        <v>54</v>
      </c>
      <c r="C84">
        <v>99792735</v>
      </c>
      <c r="E84">
        <v>4</v>
      </c>
      <c r="AT84" t="s">
        <v>132</v>
      </c>
      <c r="AU84" t="s">
        <v>133</v>
      </c>
      <c r="AV84" t="s">
        <v>54</v>
      </c>
      <c r="AW84">
        <v>99885416</v>
      </c>
      <c r="AX84">
        <v>100143322</v>
      </c>
      <c r="AY84" t="str">
        <f>HYPERLINK("http://genome.ucsc.edu/cgi-bin/hgTracks?clade=vertebrate&amp;org=Human&amp;db=hg19&amp;position=chr3:99762735-99822735")</f>
        <v>http://genome.ucsc.edu/cgi-bin/hgTracks?clade=vertebrate&amp;org=Human&amp;db=hg19&amp;position=chr3:99762735-99822735</v>
      </c>
      <c r="AZ84" t="s">
        <v>55</v>
      </c>
      <c r="BA84">
        <v>92681</v>
      </c>
    </row>
    <row r="85" spans="1:53" x14ac:dyDescent="0.2">
      <c r="A85" t="s">
        <v>125</v>
      </c>
      <c r="B85" t="s">
        <v>54</v>
      </c>
      <c r="C85">
        <v>99792736</v>
      </c>
      <c r="E85">
        <v>119</v>
      </c>
      <c r="AT85" t="s">
        <v>132</v>
      </c>
      <c r="AU85" t="s">
        <v>133</v>
      </c>
      <c r="AV85" t="s">
        <v>54</v>
      </c>
      <c r="AW85">
        <v>99885416</v>
      </c>
      <c r="AX85">
        <v>100143322</v>
      </c>
      <c r="AY85" t="str">
        <f>HYPERLINK("http://genome.ucsc.edu/cgi-bin/hgTracks?clade=vertebrate&amp;org=Human&amp;db=hg19&amp;position=chr3:99762736-99822736")</f>
        <v>http://genome.ucsc.edu/cgi-bin/hgTracks?clade=vertebrate&amp;org=Human&amp;db=hg19&amp;position=chr3:99762736-99822736</v>
      </c>
      <c r="AZ85" t="s">
        <v>55</v>
      </c>
      <c r="BA85">
        <v>92680</v>
      </c>
    </row>
    <row r="86" spans="1:53" x14ac:dyDescent="0.2">
      <c r="A86" t="s">
        <v>134</v>
      </c>
      <c r="B86" t="s">
        <v>46</v>
      </c>
      <c r="C86">
        <v>17993922</v>
      </c>
      <c r="G86">
        <v>129</v>
      </c>
      <c r="AT86" t="s">
        <v>135</v>
      </c>
      <c r="AU86" t="s">
        <v>136</v>
      </c>
      <c r="AV86" t="s">
        <v>54</v>
      </c>
      <c r="AW86">
        <v>17853481</v>
      </c>
      <c r="AX86">
        <v>18118734</v>
      </c>
      <c r="AY86" t="str">
        <f>HYPERLINK("http://genome.ucsc.edu/cgi-bin/hgTracks?clade=vertebrate&amp;org=Human&amp;db=hg19&amp;position=chr4:17963922-18023922")</f>
        <v>http://genome.ucsc.edu/cgi-bin/hgTracks?clade=vertebrate&amp;org=Human&amp;db=hg19&amp;position=chr4:17963922-18023922</v>
      </c>
      <c r="AZ86" t="s">
        <v>49</v>
      </c>
      <c r="BA86" t="s">
        <v>50</v>
      </c>
    </row>
    <row r="87" spans="1:53" x14ac:dyDescent="0.2">
      <c r="A87" t="s">
        <v>134</v>
      </c>
      <c r="B87" t="s">
        <v>46</v>
      </c>
      <c r="C87">
        <v>98770790</v>
      </c>
      <c r="AI87">
        <v>1</v>
      </c>
      <c r="AT87" t="s">
        <v>206</v>
      </c>
      <c r="AU87" t="s">
        <v>207</v>
      </c>
      <c r="AV87" t="s">
        <v>46</v>
      </c>
      <c r="AW87">
        <v>98754891</v>
      </c>
      <c r="AX87">
        <v>98817537</v>
      </c>
      <c r="AY87" t="str">
        <f>HYPERLINK("http://genome.ucsc.edu/cgi-bin/hgTracks?clade=vertebrate&amp;org=Human&amp;db=hg19&amp;position=chr4:98740790-98800790")</f>
        <v>http://genome.ucsc.edu/cgi-bin/hgTracks?clade=vertebrate&amp;org=Human&amp;db=hg19&amp;position=chr4:98740790-98800790</v>
      </c>
      <c r="AZ87" t="s">
        <v>49</v>
      </c>
      <c r="BA87" t="s">
        <v>50</v>
      </c>
    </row>
    <row r="88" spans="1:53" x14ac:dyDescent="0.2">
      <c r="A88" t="s">
        <v>134</v>
      </c>
      <c r="B88" t="s">
        <v>54</v>
      </c>
      <c r="C88">
        <v>119566032</v>
      </c>
      <c r="AI88">
        <v>40</v>
      </c>
      <c r="AT88" t="s">
        <v>137</v>
      </c>
      <c r="AU88" t="s">
        <v>138</v>
      </c>
      <c r="AV88" t="s">
        <v>54</v>
      </c>
      <c r="AW88">
        <v>119539660</v>
      </c>
      <c r="AX88">
        <v>119629119</v>
      </c>
      <c r="AY88" t="str">
        <f>HYPERLINK("http://genome.ucsc.edu/cgi-bin/hgTracks?clade=vertebrate&amp;org=Human&amp;db=hg19&amp;position=chr4:119536032-119596032")</f>
        <v>http://genome.ucsc.edu/cgi-bin/hgTracks?clade=vertebrate&amp;org=Human&amp;db=hg19&amp;position=chr4:119536032-119596032</v>
      </c>
      <c r="AZ88" t="s">
        <v>49</v>
      </c>
      <c r="BA88" t="s">
        <v>50</v>
      </c>
    </row>
    <row r="89" spans="1:53" x14ac:dyDescent="0.2">
      <c r="A89" t="s">
        <v>134</v>
      </c>
      <c r="B89" t="s">
        <v>46</v>
      </c>
      <c r="C89">
        <v>126391965</v>
      </c>
      <c r="E89">
        <v>135</v>
      </c>
      <c r="AT89" t="s">
        <v>139</v>
      </c>
      <c r="AU89" t="s">
        <v>140</v>
      </c>
      <c r="AV89" t="s">
        <v>46</v>
      </c>
      <c r="AW89">
        <v>126340677</v>
      </c>
      <c r="AX89">
        <v>126429542</v>
      </c>
      <c r="AY89" t="str">
        <f>HYPERLINK("http://genome.ucsc.edu/cgi-bin/hgTracks?clade=vertebrate&amp;org=Human&amp;db=hg19&amp;position=chr4:126361965-126421965")</f>
        <v>http://genome.ucsc.edu/cgi-bin/hgTracks?clade=vertebrate&amp;org=Human&amp;db=hg19&amp;position=chr4:126361965-126421965</v>
      </c>
      <c r="AZ89" t="s">
        <v>49</v>
      </c>
      <c r="BA89" t="s">
        <v>50</v>
      </c>
    </row>
    <row r="90" spans="1:53" x14ac:dyDescent="0.2">
      <c r="A90" t="s">
        <v>134</v>
      </c>
      <c r="B90" t="s">
        <v>46</v>
      </c>
      <c r="C90">
        <v>126391966</v>
      </c>
      <c r="E90">
        <v>1</v>
      </c>
      <c r="AT90" t="s">
        <v>139</v>
      </c>
      <c r="AU90" t="s">
        <v>140</v>
      </c>
      <c r="AV90" t="s">
        <v>46</v>
      </c>
      <c r="AW90">
        <v>126340677</v>
      </c>
      <c r="AX90">
        <v>126429542</v>
      </c>
      <c r="AY90" t="str">
        <f>HYPERLINK("http://genome.ucsc.edu/cgi-bin/hgTracks?clade=vertebrate&amp;org=Human&amp;db=hg19&amp;position=chr4:126361966-126421966")</f>
        <v>http://genome.ucsc.edu/cgi-bin/hgTracks?clade=vertebrate&amp;org=Human&amp;db=hg19&amp;position=chr4:126361966-126421966</v>
      </c>
      <c r="AZ90" t="s">
        <v>49</v>
      </c>
      <c r="BA90" t="s">
        <v>50</v>
      </c>
    </row>
    <row r="91" spans="1:53" x14ac:dyDescent="0.2">
      <c r="A91" t="s">
        <v>141</v>
      </c>
      <c r="B91" t="s">
        <v>54</v>
      </c>
      <c r="C91">
        <v>13063043</v>
      </c>
      <c r="G91">
        <v>138</v>
      </c>
      <c r="AT91" t="s">
        <v>142</v>
      </c>
      <c r="AU91" t="s">
        <v>143</v>
      </c>
      <c r="AV91" t="s">
        <v>54</v>
      </c>
      <c r="AW91">
        <v>13396783</v>
      </c>
      <c r="AX91">
        <v>13603485</v>
      </c>
      <c r="AY91" t="str">
        <f>HYPERLINK("http://genome.ucsc.edu/cgi-bin/hgTracks?clade=vertebrate&amp;org=Human&amp;db=hg19&amp;position=chr5:13033043-13093043")</f>
        <v>http://genome.ucsc.edu/cgi-bin/hgTracks?clade=vertebrate&amp;org=Human&amp;db=hg19&amp;position=chr5:13033043-13093043</v>
      </c>
      <c r="AZ91" t="s">
        <v>55</v>
      </c>
      <c r="BA91">
        <v>333740</v>
      </c>
    </row>
    <row r="92" spans="1:53" x14ac:dyDescent="0.2">
      <c r="A92" t="s">
        <v>141</v>
      </c>
      <c r="B92" t="s">
        <v>46</v>
      </c>
      <c r="C92">
        <v>52859818</v>
      </c>
      <c r="G92">
        <v>1</v>
      </c>
      <c r="AT92" t="s">
        <v>208</v>
      </c>
      <c r="AU92" t="s">
        <v>209</v>
      </c>
      <c r="AV92" t="s">
        <v>54</v>
      </c>
      <c r="AW92">
        <v>52834134</v>
      </c>
      <c r="AX92">
        <v>52866734</v>
      </c>
      <c r="AY92" t="str">
        <f>HYPERLINK("http://genome.ucsc.edu/cgi-bin/hgTracks?clade=vertebrate&amp;org=Human&amp;db=hg19&amp;position=chr5:52829818-52889818")</f>
        <v>http://genome.ucsc.edu/cgi-bin/hgTracks?clade=vertebrate&amp;org=Human&amp;db=hg19&amp;position=chr5:52829818-52889818</v>
      </c>
      <c r="AZ92" t="s">
        <v>49</v>
      </c>
      <c r="BA92" t="s">
        <v>50</v>
      </c>
    </row>
    <row r="93" spans="1:53" x14ac:dyDescent="0.2">
      <c r="A93" t="s">
        <v>141</v>
      </c>
      <c r="B93" t="s">
        <v>54</v>
      </c>
      <c r="C93">
        <v>52860051</v>
      </c>
      <c r="G93">
        <v>6</v>
      </c>
      <c r="AT93" t="s">
        <v>208</v>
      </c>
      <c r="AU93" t="s">
        <v>209</v>
      </c>
      <c r="AV93" t="s">
        <v>54</v>
      </c>
      <c r="AW93">
        <v>52834134</v>
      </c>
      <c r="AX93">
        <v>52866734</v>
      </c>
      <c r="AY93" t="str">
        <f>HYPERLINK("http://genome.ucsc.edu/cgi-bin/hgTracks?clade=vertebrate&amp;org=Human&amp;db=hg19&amp;position=chr5:52830051-52890051")</f>
        <v>http://genome.ucsc.edu/cgi-bin/hgTracks?clade=vertebrate&amp;org=Human&amp;db=hg19&amp;position=chr5:52830051-52890051</v>
      </c>
      <c r="AZ93" t="s">
        <v>49</v>
      </c>
      <c r="BA93" t="s">
        <v>50</v>
      </c>
    </row>
    <row r="94" spans="1:53" x14ac:dyDescent="0.2">
      <c r="A94" t="s">
        <v>141</v>
      </c>
      <c r="B94" t="s">
        <v>54</v>
      </c>
      <c r="C94">
        <v>100041647</v>
      </c>
      <c r="G94">
        <v>84</v>
      </c>
      <c r="AT94" t="s">
        <v>144</v>
      </c>
      <c r="AU94" t="s">
        <v>145</v>
      </c>
      <c r="AV94" t="s">
        <v>54</v>
      </c>
      <c r="AW94">
        <v>100039993</v>
      </c>
      <c r="AX94">
        <v>100068765</v>
      </c>
      <c r="AY94" t="str">
        <f>HYPERLINK("http://genome.ucsc.edu/cgi-bin/hgTracks?clade=vertebrate&amp;org=Human&amp;db=hg19&amp;position=chr5:100011647-100071647")</f>
        <v>http://genome.ucsc.edu/cgi-bin/hgTracks?clade=vertebrate&amp;org=Human&amp;db=hg19&amp;position=chr5:100011647-100071647</v>
      </c>
      <c r="AZ94" t="s">
        <v>49</v>
      </c>
      <c r="BA94" t="s">
        <v>50</v>
      </c>
    </row>
    <row r="95" spans="1:53" x14ac:dyDescent="0.2">
      <c r="A95" t="s">
        <v>141</v>
      </c>
      <c r="B95" t="s">
        <v>54</v>
      </c>
      <c r="C95">
        <v>105891037</v>
      </c>
      <c r="D95">
        <v>128</v>
      </c>
      <c r="AT95" t="s">
        <v>146</v>
      </c>
      <c r="AU95" t="s">
        <v>147</v>
      </c>
      <c r="AV95" t="s">
        <v>54</v>
      </c>
      <c r="AW95">
        <v>105876567</v>
      </c>
      <c r="AX95">
        <v>105915820</v>
      </c>
      <c r="AY95" t="str">
        <f>HYPERLINK("http://genome.ucsc.edu/cgi-bin/hgTracks?clade=vertebrate&amp;org=Human&amp;db=hg19&amp;position=chr5:105861037-105921037")</f>
        <v>http://genome.ucsc.edu/cgi-bin/hgTracks?clade=vertebrate&amp;org=Human&amp;db=hg19&amp;position=chr5:105861037-105921037</v>
      </c>
      <c r="AZ95" t="s">
        <v>49</v>
      </c>
      <c r="BA95" t="s">
        <v>50</v>
      </c>
    </row>
    <row r="96" spans="1:53" x14ac:dyDescent="0.2">
      <c r="A96" t="s">
        <v>141</v>
      </c>
      <c r="B96" t="s">
        <v>54</v>
      </c>
      <c r="C96">
        <v>131207608</v>
      </c>
      <c r="N96">
        <v>1</v>
      </c>
      <c r="AT96" t="s">
        <v>210</v>
      </c>
      <c r="AU96" t="s">
        <v>211</v>
      </c>
      <c r="AV96" t="s">
        <v>46</v>
      </c>
      <c r="AW96">
        <v>130874950</v>
      </c>
      <c r="AX96">
        <v>131307522</v>
      </c>
      <c r="AY96" t="str">
        <f>HYPERLINK("http://genome.ucsc.edu/cgi-bin/hgTracks?clade=vertebrate&amp;org=Human&amp;db=hg19&amp;position=chr5:131177608-131237608")</f>
        <v>http://genome.ucsc.edu/cgi-bin/hgTracks?clade=vertebrate&amp;org=Human&amp;db=hg19&amp;position=chr5:131177608-131237608</v>
      </c>
      <c r="AZ96" t="s">
        <v>49</v>
      </c>
      <c r="BA96" t="s">
        <v>50</v>
      </c>
    </row>
    <row r="97" spans="1:53" x14ac:dyDescent="0.2">
      <c r="A97" t="s">
        <v>141</v>
      </c>
      <c r="B97" t="s">
        <v>54</v>
      </c>
      <c r="C97">
        <v>143590049</v>
      </c>
      <c r="I97">
        <v>1</v>
      </c>
      <c r="K97">
        <v>1</v>
      </c>
      <c r="S97">
        <v>1</v>
      </c>
      <c r="X97">
        <v>1</v>
      </c>
      <c r="AT97" t="s">
        <v>212</v>
      </c>
      <c r="AU97" t="s">
        <v>213</v>
      </c>
      <c r="AV97" t="s">
        <v>54</v>
      </c>
      <c r="AW97">
        <v>143548705</v>
      </c>
      <c r="AX97">
        <v>143564525</v>
      </c>
      <c r="AY97" t="str">
        <f>HYPERLINK("http://genome.ucsc.edu/cgi-bin/hgTracks?clade=vertebrate&amp;org=Human&amp;db=hg19&amp;position=chr5:143560049-143620049")</f>
        <v>http://genome.ucsc.edu/cgi-bin/hgTracks?clade=vertebrate&amp;org=Human&amp;db=hg19&amp;position=chr5:143560049-143620049</v>
      </c>
      <c r="AZ97" t="s">
        <v>55</v>
      </c>
      <c r="BA97">
        <v>25524</v>
      </c>
    </row>
    <row r="98" spans="1:53" x14ac:dyDescent="0.2">
      <c r="A98" t="s">
        <v>141</v>
      </c>
      <c r="B98" t="s">
        <v>46</v>
      </c>
      <c r="C98">
        <v>147509826</v>
      </c>
      <c r="K98">
        <v>1</v>
      </c>
      <c r="AT98" t="s">
        <v>148</v>
      </c>
      <c r="AU98" t="s">
        <v>149</v>
      </c>
      <c r="AV98" t="s">
        <v>54</v>
      </c>
      <c r="AW98">
        <v>147430579</v>
      </c>
      <c r="AX98">
        <v>147548501</v>
      </c>
      <c r="AY98" t="str">
        <f>HYPERLINK("http://genome.ucsc.edu/cgi-bin/hgTracks?clade=vertebrate&amp;org=Human&amp;db=hg19&amp;position=chr5:147479826-147539826")</f>
        <v>http://genome.ucsc.edu/cgi-bin/hgTracks?clade=vertebrate&amp;org=Human&amp;db=hg19&amp;position=chr5:147479826-147539826</v>
      </c>
      <c r="AZ98" t="s">
        <v>49</v>
      </c>
      <c r="BA98" t="s">
        <v>50</v>
      </c>
    </row>
    <row r="99" spans="1:53" x14ac:dyDescent="0.2">
      <c r="A99" t="s">
        <v>141</v>
      </c>
      <c r="B99" t="s">
        <v>54</v>
      </c>
      <c r="C99">
        <v>147510197</v>
      </c>
      <c r="K99">
        <v>1</v>
      </c>
      <c r="AT99" t="s">
        <v>148</v>
      </c>
      <c r="AU99" t="s">
        <v>149</v>
      </c>
      <c r="AV99" t="s">
        <v>54</v>
      </c>
      <c r="AW99">
        <v>147430579</v>
      </c>
      <c r="AX99">
        <v>147548501</v>
      </c>
      <c r="AY99" t="str">
        <f>HYPERLINK("http://genome.ucsc.edu/cgi-bin/hgTracks?clade=vertebrate&amp;org=Human&amp;db=hg19&amp;position=chr5:147480197-147540197")</f>
        <v>http://genome.ucsc.edu/cgi-bin/hgTracks?clade=vertebrate&amp;org=Human&amp;db=hg19&amp;position=chr5:147480197-147540197</v>
      </c>
      <c r="AZ99" t="s">
        <v>49</v>
      </c>
      <c r="BA99" t="s">
        <v>50</v>
      </c>
    </row>
    <row r="100" spans="1:53" x14ac:dyDescent="0.2">
      <c r="A100" t="s">
        <v>141</v>
      </c>
      <c r="B100" t="s">
        <v>54</v>
      </c>
      <c r="C100">
        <v>147510200</v>
      </c>
      <c r="I100">
        <v>103</v>
      </c>
      <c r="K100">
        <v>83</v>
      </c>
      <c r="S100">
        <v>96</v>
      </c>
      <c r="X100">
        <v>110</v>
      </c>
      <c r="AT100" t="s">
        <v>148</v>
      </c>
      <c r="AU100" t="s">
        <v>149</v>
      </c>
      <c r="AV100" t="s">
        <v>54</v>
      </c>
      <c r="AW100">
        <v>147430579</v>
      </c>
      <c r="AX100">
        <v>147548501</v>
      </c>
      <c r="AY100" t="str">
        <f>HYPERLINK("http://genome.ucsc.edu/cgi-bin/hgTracks?clade=vertebrate&amp;org=Human&amp;db=hg19&amp;position=chr5:147480200-147540200")</f>
        <v>http://genome.ucsc.edu/cgi-bin/hgTracks?clade=vertebrate&amp;org=Human&amp;db=hg19&amp;position=chr5:147480200-147540200</v>
      </c>
      <c r="AZ100" t="s">
        <v>49</v>
      </c>
      <c r="BA100" t="s">
        <v>50</v>
      </c>
    </row>
    <row r="101" spans="1:53" x14ac:dyDescent="0.2">
      <c r="A101" t="s">
        <v>141</v>
      </c>
      <c r="B101" t="s">
        <v>54</v>
      </c>
      <c r="C101">
        <v>147510202</v>
      </c>
      <c r="X101">
        <v>1</v>
      </c>
      <c r="AT101" t="s">
        <v>148</v>
      </c>
      <c r="AU101" t="s">
        <v>149</v>
      </c>
      <c r="AV101" t="s">
        <v>54</v>
      </c>
      <c r="AW101">
        <v>147430579</v>
      </c>
      <c r="AX101">
        <v>147548501</v>
      </c>
      <c r="AY101" t="str">
        <f>HYPERLINK("http://genome.ucsc.edu/cgi-bin/hgTracks?clade=vertebrate&amp;org=Human&amp;db=hg19&amp;position=chr5:147480202-147540202")</f>
        <v>http://genome.ucsc.edu/cgi-bin/hgTracks?clade=vertebrate&amp;org=Human&amp;db=hg19&amp;position=chr5:147480202-147540202</v>
      </c>
      <c r="AZ101" t="s">
        <v>49</v>
      </c>
      <c r="BA101" t="s">
        <v>50</v>
      </c>
    </row>
    <row r="102" spans="1:53" x14ac:dyDescent="0.2">
      <c r="A102" t="s">
        <v>141</v>
      </c>
      <c r="B102" t="s">
        <v>54</v>
      </c>
      <c r="C102">
        <v>147510203</v>
      </c>
      <c r="K102">
        <v>2</v>
      </c>
      <c r="AT102" t="s">
        <v>148</v>
      </c>
      <c r="AU102" t="s">
        <v>149</v>
      </c>
      <c r="AV102" t="s">
        <v>54</v>
      </c>
      <c r="AW102">
        <v>147430579</v>
      </c>
      <c r="AX102">
        <v>147548501</v>
      </c>
      <c r="AY102" t="str">
        <f>HYPERLINK("http://genome.ucsc.edu/cgi-bin/hgTracks?clade=vertebrate&amp;org=Human&amp;db=hg19&amp;position=chr5:147480203-147540203")</f>
        <v>http://genome.ucsc.edu/cgi-bin/hgTracks?clade=vertebrate&amp;org=Human&amp;db=hg19&amp;position=chr5:147480203-147540203</v>
      </c>
      <c r="AZ102" t="s">
        <v>49</v>
      </c>
      <c r="BA102" t="s">
        <v>50</v>
      </c>
    </row>
    <row r="103" spans="1:53" x14ac:dyDescent="0.2">
      <c r="A103" t="s">
        <v>141</v>
      </c>
      <c r="B103" t="s">
        <v>46</v>
      </c>
      <c r="C103">
        <v>147510313</v>
      </c>
      <c r="K103">
        <v>1</v>
      </c>
      <c r="AT103" t="s">
        <v>148</v>
      </c>
      <c r="AU103" t="s">
        <v>149</v>
      </c>
      <c r="AV103" t="s">
        <v>54</v>
      </c>
      <c r="AW103">
        <v>147430579</v>
      </c>
      <c r="AX103">
        <v>147548501</v>
      </c>
      <c r="AY103" t="str">
        <f>HYPERLINK("http://genome.ucsc.edu/cgi-bin/hgTracks?clade=vertebrate&amp;org=Human&amp;db=hg19&amp;position=chr5:147480313-147540313")</f>
        <v>http://genome.ucsc.edu/cgi-bin/hgTracks?clade=vertebrate&amp;org=Human&amp;db=hg19&amp;position=chr5:147480313-147540313</v>
      </c>
      <c r="AZ103" t="s">
        <v>49</v>
      </c>
      <c r="BA103" t="s">
        <v>50</v>
      </c>
    </row>
    <row r="104" spans="1:53" x14ac:dyDescent="0.2">
      <c r="A104" t="s">
        <v>150</v>
      </c>
      <c r="B104" t="s">
        <v>46</v>
      </c>
      <c r="C104">
        <v>56716752</v>
      </c>
      <c r="M104">
        <v>1</v>
      </c>
      <c r="AH104">
        <v>88</v>
      </c>
      <c r="AT104" t="s">
        <v>151</v>
      </c>
      <c r="AU104" t="s">
        <v>152</v>
      </c>
      <c r="AV104" t="s">
        <v>54</v>
      </c>
      <c r="AW104">
        <v>56714904</v>
      </c>
      <c r="AX104">
        <v>56761911</v>
      </c>
      <c r="AY104" t="str">
        <f>HYPERLINK("http://genome.ucsc.edu/cgi-bin/hgTracks?clade=vertebrate&amp;org=Human&amp;db=hg19&amp;position=chr6:56686752-56746752")</f>
        <v>http://genome.ucsc.edu/cgi-bin/hgTracks?clade=vertebrate&amp;org=Human&amp;db=hg19&amp;position=chr6:56686752-56746752</v>
      </c>
      <c r="AZ104" t="s">
        <v>49</v>
      </c>
      <c r="BA104" t="s">
        <v>50</v>
      </c>
    </row>
    <row r="105" spans="1:53" x14ac:dyDescent="0.2">
      <c r="A105" t="s">
        <v>150</v>
      </c>
      <c r="B105" t="s">
        <v>54</v>
      </c>
      <c r="C105">
        <v>89096270</v>
      </c>
      <c r="V105">
        <v>1</v>
      </c>
      <c r="AT105" t="s">
        <v>153</v>
      </c>
      <c r="AU105" t="s">
        <v>154</v>
      </c>
      <c r="AV105" t="s">
        <v>54</v>
      </c>
      <c r="AW105">
        <v>89096114</v>
      </c>
      <c r="AX105">
        <v>89110037</v>
      </c>
      <c r="AY105" t="str">
        <f>HYPERLINK("http://genome.ucsc.edu/cgi-bin/hgTracks?clade=vertebrate&amp;org=Human&amp;db=hg19&amp;position=chr6:89066270-89126270")</f>
        <v>http://genome.ucsc.edu/cgi-bin/hgTracks?clade=vertebrate&amp;org=Human&amp;db=hg19&amp;position=chr6:89066270-89126270</v>
      </c>
      <c r="AZ105" t="s">
        <v>49</v>
      </c>
      <c r="BA105" t="s">
        <v>50</v>
      </c>
    </row>
    <row r="106" spans="1:53" x14ac:dyDescent="0.2">
      <c r="A106" t="s">
        <v>150</v>
      </c>
      <c r="B106" t="s">
        <v>54</v>
      </c>
      <c r="C106">
        <v>89096271</v>
      </c>
      <c r="E106">
        <v>4</v>
      </c>
      <c r="F106">
        <v>2</v>
      </c>
      <c r="G106">
        <v>1</v>
      </c>
      <c r="H106">
        <v>198</v>
      </c>
      <c r="I106">
        <v>1</v>
      </c>
      <c r="J106">
        <v>187</v>
      </c>
      <c r="L106">
        <v>200</v>
      </c>
      <c r="M106">
        <v>260</v>
      </c>
      <c r="N106">
        <v>174</v>
      </c>
      <c r="O106">
        <v>1</v>
      </c>
      <c r="P106">
        <v>251</v>
      </c>
      <c r="Q106">
        <v>216</v>
      </c>
      <c r="R106">
        <v>178</v>
      </c>
      <c r="S106">
        <v>5</v>
      </c>
      <c r="T106">
        <v>223</v>
      </c>
      <c r="U106">
        <v>3</v>
      </c>
      <c r="V106">
        <v>200</v>
      </c>
      <c r="W106">
        <v>157</v>
      </c>
      <c r="X106">
        <v>3</v>
      </c>
      <c r="Y106">
        <v>193</v>
      </c>
      <c r="Z106">
        <v>173</v>
      </c>
      <c r="AA106">
        <v>199</v>
      </c>
      <c r="AB106">
        <v>1</v>
      </c>
      <c r="AC106">
        <v>1</v>
      </c>
      <c r="AO106">
        <v>1</v>
      </c>
      <c r="AT106" t="s">
        <v>153</v>
      </c>
      <c r="AU106" t="s">
        <v>154</v>
      </c>
      <c r="AV106" t="s">
        <v>54</v>
      </c>
      <c r="AW106">
        <v>89096114</v>
      </c>
      <c r="AX106">
        <v>89110037</v>
      </c>
      <c r="AY106" t="str">
        <f>HYPERLINK("http://genome.ucsc.edu/cgi-bin/hgTracks?clade=vertebrate&amp;org=Human&amp;db=hg19&amp;position=chr6:89066271-89126271")</f>
        <v>http://genome.ucsc.edu/cgi-bin/hgTracks?clade=vertebrate&amp;org=Human&amp;db=hg19&amp;position=chr6:89066271-89126271</v>
      </c>
      <c r="AZ106" t="s">
        <v>49</v>
      </c>
      <c r="BA106" t="s">
        <v>50</v>
      </c>
    </row>
    <row r="107" spans="1:53" x14ac:dyDescent="0.2">
      <c r="A107" t="s">
        <v>155</v>
      </c>
      <c r="B107" t="s">
        <v>54</v>
      </c>
      <c r="C107">
        <v>47731229</v>
      </c>
      <c r="G107">
        <v>1</v>
      </c>
      <c r="AT107" t="s">
        <v>214</v>
      </c>
      <c r="AU107" t="s">
        <v>215</v>
      </c>
      <c r="AV107" t="s">
        <v>46</v>
      </c>
      <c r="AW107">
        <v>47588949</v>
      </c>
      <c r="AX107">
        <v>47601372</v>
      </c>
      <c r="AY107" t="str">
        <f>HYPERLINK("http://genome.ucsc.edu/cgi-bin/hgTracks?clade=vertebrate&amp;org=Human&amp;db=hg19&amp;position=chr7:47701229-47761229")</f>
        <v>http://genome.ucsc.edu/cgi-bin/hgTracks?clade=vertebrate&amp;org=Human&amp;db=hg19&amp;position=chr7:47701229-47761229</v>
      </c>
      <c r="AZ107" t="s">
        <v>55</v>
      </c>
      <c r="BA107">
        <v>129857</v>
      </c>
    </row>
    <row r="108" spans="1:53" x14ac:dyDescent="0.2">
      <c r="A108" t="s">
        <v>155</v>
      </c>
      <c r="B108" t="s">
        <v>54</v>
      </c>
      <c r="C108">
        <v>47821581</v>
      </c>
      <c r="G108">
        <v>1</v>
      </c>
      <c r="AT108" t="s">
        <v>216</v>
      </c>
      <c r="AU108" t="s">
        <v>217</v>
      </c>
      <c r="AV108" t="s">
        <v>46</v>
      </c>
      <c r="AW108">
        <v>47980793</v>
      </c>
      <c r="AX108">
        <v>47982296</v>
      </c>
      <c r="AY108" t="str">
        <f>HYPERLINK("http://genome.ucsc.edu/cgi-bin/hgTracks?clade=vertebrate&amp;org=Human&amp;db=hg19&amp;position=chr7:47791581-47851581")</f>
        <v>http://genome.ucsc.edu/cgi-bin/hgTracks?clade=vertebrate&amp;org=Human&amp;db=hg19&amp;position=chr7:47791581-47851581</v>
      </c>
      <c r="AZ108" t="s">
        <v>55</v>
      </c>
      <c r="BA108">
        <v>159212</v>
      </c>
    </row>
    <row r="109" spans="1:53" x14ac:dyDescent="0.2">
      <c r="A109" t="s">
        <v>155</v>
      </c>
      <c r="B109" t="s">
        <v>54</v>
      </c>
      <c r="C109">
        <v>47979015</v>
      </c>
      <c r="G109">
        <v>5</v>
      </c>
      <c r="AT109" t="s">
        <v>216</v>
      </c>
      <c r="AU109" t="s">
        <v>217</v>
      </c>
      <c r="AV109" t="s">
        <v>46</v>
      </c>
      <c r="AW109">
        <v>47980793</v>
      </c>
      <c r="AX109">
        <v>47982296</v>
      </c>
      <c r="AY109" t="str">
        <f>HYPERLINK("http://genome.ucsc.edu/cgi-bin/hgTracks?clade=vertebrate&amp;org=Human&amp;db=hg19&amp;position=chr7:47949015-48009015")</f>
        <v>http://genome.ucsc.edu/cgi-bin/hgTracks?clade=vertebrate&amp;org=Human&amp;db=hg19&amp;position=chr7:47949015-48009015</v>
      </c>
      <c r="AZ109" t="s">
        <v>55</v>
      </c>
      <c r="BA109">
        <v>1778</v>
      </c>
    </row>
    <row r="110" spans="1:53" x14ac:dyDescent="0.2">
      <c r="A110" t="s">
        <v>155</v>
      </c>
      <c r="B110" t="s">
        <v>46</v>
      </c>
      <c r="C110">
        <v>81401462</v>
      </c>
      <c r="F110">
        <v>137</v>
      </c>
      <c r="AT110" t="s">
        <v>156</v>
      </c>
      <c r="AU110" t="s">
        <v>157</v>
      </c>
      <c r="AV110" t="s">
        <v>46</v>
      </c>
      <c r="AW110">
        <v>81347025</v>
      </c>
      <c r="AX110">
        <v>81454758</v>
      </c>
      <c r="AY110" t="str">
        <f>HYPERLINK("http://genome.ucsc.edu/cgi-bin/hgTracks?clade=vertebrate&amp;org=Human&amp;db=hg19&amp;position=chr7:81371462-81431462")</f>
        <v>http://genome.ucsc.edu/cgi-bin/hgTracks?clade=vertebrate&amp;org=Human&amp;db=hg19&amp;position=chr7:81371462-81431462</v>
      </c>
      <c r="AZ110" t="s">
        <v>49</v>
      </c>
      <c r="BA110" t="s">
        <v>50</v>
      </c>
    </row>
    <row r="111" spans="1:53" x14ac:dyDescent="0.2">
      <c r="A111" t="s">
        <v>155</v>
      </c>
      <c r="B111" t="s">
        <v>46</v>
      </c>
      <c r="C111">
        <v>81401463</v>
      </c>
      <c r="F111">
        <v>4</v>
      </c>
      <c r="AT111" t="s">
        <v>156</v>
      </c>
      <c r="AU111" t="s">
        <v>157</v>
      </c>
      <c r="AV111" t="s">
        <v>46</v>
      </c>
      <c r="AW111">
        <v>81347025</v>
      </c>
      <c r="AX111">
        <v>81454758</v>
      </c>
      <c r="AY111" t="str">
        <f>HYPERLINK("http://genome.ucsc.edu/cgi-bin/hgTracks?clade=vertebrate&amp;org=Human&amp;db=hg19&amp;position=chr7:81371463-81431463")</f>
        <v>http://genome.ucsc.edu/cgi-bin/hgTracks?clade=vertebrate&amp;org=Human&amp;db=hg19&amp;position=chr7:81371463-81431463</v>
      </c>
      <c r="AZ111" t="s">
        <v>49</v>
      </c>
      <c r="BA111" t="s">
        <v>50</v>
      </c>
    </row>
    <row r="112" spans="1:53" x14ac:dyDescent="0.2">
      <c r="A112" t="s">
        <v>155</v>
      </c>
      <c r="B112" t="s">
        <v>46</v>
      </c>
      <c r="C112">
        <v>84310941</v>
      </c>
      <c r="E112">
        <v>1</v>
      </c>
      <c r="AT112" t="s">
        <v>158</v>
      </c>
      <c r="AU112" t="s">
        <v>159</v>
      </c>
      <c r="AV112" t="s">
        <v>46</v>
      </c>
      <c r="AW112">
        <v>84246274</v>
      </c>
      <c r="AX112">
        <v>84410038</v>
      </c>
      <c r="AY112" t="str">
        <f>HYPERLINK("http://genome.ucsc.edu/cgi-bin/hgTracks?clade=vertebrate&amp;org=Human&amp;db=hg19&amp;position=chr7:84280941-84340941")</f>
        <v>http://genome.ucsc.edu/cgi-bin/hgTracks?clade=vertebrate&amp;org=Human&amp;db=hg19&amp;position=chr7:84280941-84340941</v>
      </c>
      <c r="AZ112" t="s">
        <v>49</v>
      </c>
      <c r="BA112" t="s">
        <v>107</v>
      </c>
    </row>
    <row r="113" spans="1:53" x14ac:dyDescent="0.2">
      <c r="A113" t="s">
        <v>155</v>
      </c>
      <c r="B113" t="s">
        <v>46</v>
      </c>
      <c r="C113">
        <v>84310942</v>
      </c>
      <c r="E113">
        <v>141</v>
      </c>
      <c r="AT113" t="s">
        <v>158</v>
      </c>
      <c r="AU113" t="s">
        <v>159</v>
      </c>
      <c r="AV113" t="s">
        <v>46</v>
      </c>
      <c r="AW113">
        <v>84246274</v>
      </c>
      <c r="AX113">
        <v>84410038</v>
      </c>
      <c r="AY113" t="str">
        <f>HYPERLINK("http://genome.ucsc.edu/cgi-bin/hgTracks?clade=vertebrate&amp;org=Human&amp;db=hg19&amp;position=chr7:84280942-84340942")</f>
        <v>http://genome.ucsc.edu/cgi-bin/hgTracks?clade=vertebrate&amp;org=Human&amp;db=hg19&amp;position=chr7:84280942-84340942</v>
      </c>
      <c r="AZ113" t="s">
        <v>49</v>
      </c>
      <c r="BA113" t="s">
        <v>107</v>
      </c>
    </row>
    <row r="114" spans="1:53" x14ac:dyDescent="0.2">
      <c r="A114" t="s">
        <v>155</v>
      </c>
      <c r="B114" t="s">
        <v>54</v>
      </c>
      <c r="C114">
        <v>87385093</v>
      </c>
      <c r="F114">
        <v>1</v>
      </c>
      <c r="AT114" t="s">
        <v>218</v>
      </c>
      <c r="AU114" t="s">
        <v>219</v>
      </c>
      <c r="AV114" t="s">
        <v>54</v>
      </c>
      <c r="AW114">
        <v>87246648</v>
      </c>
      <c r="AX114">
        <v>87398708</v>
      </c>
      <c r="AY114" t="str">
        <f>HYPERLINK("http://genome.ucsc.edu/cgi-bin/hgTracks?clade=vertebrate&amp;org=Human&amp;db=hg19&amp;position=chr7:87355093-87415093")</f>
        <v>http://genome.ucsc.edu/cgi-bin/hgTracks?clade=vertebrate&amp;org=Human&amp;db=hg19&amp;position=chr7:87355093-87415093</v>
      </c>
      <c r="AZ114" t="s">
        <v>49</v>
      </c>
      <c r="BA114" t="s">
        <v>50</v>
      </c>
    </row>
    <row r="115" spans="1:53" x14ac:dyDescent="0.2">
      <c r="A115" t="s">
        <v>155</v>
      </c>
      <c r="B115" t="s">
        <v>54</v>
      </c>
      <c r="C115">
        <v>90181473</v>
      </c>
      <c r="F115">
        <v>3</v>
      </c>
      <c r="I115">
        <v>5</v>
      </c>
      <c r="X115">
        <v>1</v>
      </c>
      <c r="AO115">
        <v>115</v>
      </c>
      <c r="AS115">
        <v>253</v>
      </c>
      <c r="AT115" t="s">
        <v>160</v>
      </c>
      <c r="AU115" t="s">
        <v>161</v>
      </c>
      <c r="AV115" t="s">
        <v>54</v>
      </c>
      <c r="AW115">
        <v>90130231</v>
      </c>
      <c r="AX115">
        <v>90209447</v>
      </c>
      <c r="AY115" t="str">
        <f>HYPERLINK("http://genome.ucsc.edu/cgi-bin/hgTracks?clade=vertebrate&amp;org=Human&amp;db=hg19&amp;position=chr7:90151473-90211473")</f>
        <v>http://genome.ucsc.edu/cgi-bin/hgTracks?clade=vertebrate&amp;org=Human&amp;db=hg19&amp;position=chr7:90151473-90211473</v>
      </c>
      <c r="AZ115" t="s">
        <v>49</v>
      </c>
      <c r="BA115" t="s">
        <v>50</v>
      </c>
    </row>
    <row r="116" spans="1:53" x14ac:dyDescent="0.2">
      <c r="A116" t="s">
        <v>155</v>
      </c>
      <c r="B116" t="s">
        <v>54</v>
      </c>
      <c r="C116">
        <v>110041988</v>
      </c>
      <c r="AB116">
        <v>2</v>
      </c>
      <c r="AT116" t="s">
        <v>162</v>
      </c>
      <c r="AU116" t="s">
        <v>163</v>
      </c>
      <c r="AV116" t="s">
        <v>54</v>
      </c>
      <c r="AW116">
        <v>110018424</v>
      </c>
      <c r="AX116">
        <v>110055114</v>
      </c>
      <c r="AY116" t="str">
        <f>HYPERLINK("http://genome.ucsc.edu/cgi-bin/hgTracks?clade=vertebrate&amp;org=Human&amp;db=hg19&amp;position=chr7:110011988-110071988")</f>
        <v>http://genome.ucsc.edu/cgi-bin/hgTracks?clade=vertebrate&amp;org=Human&amp;db=hg19&amp;position=chr7:110011988-110071988</v>
      </c>
      <c r="AZ116" t="s">
        <v>49</v>
      </c>
      <c r="BA116" t="s">
        <v>107</v>
      </c>
    </row>
    <row r="117" spans="1:53" x14ac:dyDescent="0.2">
      <c r="A117" t="s">
        <v>155</v>
      </c>
      <c r="B117" t="s">
        <v>54</v>
      </c>
      <c r="C117">
        <v>110041989</v>
      </c>
      <c r="AB117">
        <v>174</v>
      </c>
      <c r="AT117" t="s">
        <v>162</v>
      </c>
      <c r="AU117" t="s">
        <v>163</v>
      </c>
      <c r="AV117" t="s">
        <v>54</v>
      </c>
      <c r="AW117">
        <v>110018424</v>
      </c>
      <c r="AX117">
        <v>110055114</v>
      </c>
      <c r="AY117" t="str">
        <f>HYPERLINK("http://genome.ucsc.edu/cgi-bin/hgTracks?clade=vertebrate&amp;org=Human&amp;db=hg19&amp;position=chr7:110011989-110071989")</f>
        <v>http://genome.ucsc.edu/cgi-bin/hgTracks?clade=vertebrate&amp;org=Human&amp;db=hg19&amp;position=chr7:110011989-110071989</v>
      </c>
      <c r="AZ117" t="s">
        <v>49</v>
      </c>
      <c r="BA117" t="s">
        <v>107</v>
      </c>
    </row>
    <row r="118" spans="1:53" x14ac:dyDescent="0.2">
      <c r="A118" t="s">
        <v>164</v>
      </c>
      <c r="B118" t="s">
        <v>54</v>
      </c>
      <c r="C118">
        <v>7212436</v>
      </c>
      <c r="E118">
        <v>111</v>
      </c>
      <c r="AT118" t="s">
        <v>165</v>
      </c>
      <c r="AU118" t="s">
        <v>166</v>
      </c>
      <c r="AV118" t="s">
        <v>46</v>
      </c>
      <c r="AW118">
        <v>8617438</v>
      </c>
      <c r="AX118">
        <v>8660773</v>
      </c>
      <c r="AY118" t="str">
        <f>HYPERLINK("http://genome.ucsc.edu/cgi-bin/hgTracks?clade=vertebrate&amp;org=Human&amp;db=hg19&amp;position=chr8:7182436-7242436")</f>
        <v>http://genome.ucsc.edu/cgi-bin/hgTracks?clade=vertebrate&amp;org=Human&amp;db=hg19&amp;position=chr8:7182436-7242436</v>
      </c>
      <c r="AZ118" t="s">
        <v>55</v>
      </c>
      <c r="BA118">
        <v>1405002</v>
      </c>
    </row>
    <row r="119" spans="1:53" x14ac:dyDescent="0.2">
      <c r="A119" t="s">
        <v>164</v>
      </c>
      <c r="B119" t="s">
        <v>54</v>
      </c>
      <c r="C119">
        <v>7518154</v>
      </c>
      <c r="F119">
        <v>1</v>
      </c>
      <c r="AT119" t="s">
        <v>165</v>
      </c>
      <c r="AU119" t="s">
        <v>166</v>
      </c>
      <c r="AV119" t="s">
        <v>46</v>
      </c>
      <c r="AW119">
        <v>8617438</v>
      </c>
      <c r="AX119">
        <v>8660773</v>
      </c>
      <c r="AY119" t="str">
        <f>HYPERLINK("http://genome.ucsc.edu/cgi-bin/hgTracks?clade=vertebrate&amp;org=Human&amp;db=hg19&amp;position=chr8:7488154-7548154")</f>
        <v>http://genome.ucsc.edu/cgi-bin/hgTracks?clade=vertebrate&amp;org=Human&amp;db=hg19&amp;position=chr8:7488154-7548154</v>
      </c>
      <c r="AZ119" t="s">
        <v>55</v>
      </c>
      <c r="BA119">
        <v>1099284</v>
      </c>
    </row>
    <row r="120" spans="1:53" x14ac:dyDescent="0.2">
      <c r="A120" t="s">
        <v>176</v>
      </c>
      <c r="B120" t="s">
        <v>46</v>
      </c>
      <c r="C120">
        <v>3000384</v>
      </c>
      <c r="I120">
        <v>1</v>
      </c>
      <c r="K120">
        <v>2</v>
      </c>
      <c r="S120">
        <v>1</v>
      </c>
      <c r="X120">
        <v>3</v>
      </c>
      <c r="AT120" t="s">
        <v>220</v>
      </c>
      <c r="AU120" t="s">
        <v>221</v>
      </c>
      <c r="AV120" t="s">
        <v>46</v>
      </c>
      <c r="AW120">
        <v>3038668</v>
      </c>
      <c r="AX120">
        <v>3038743</v>
      </c>
      <c r="AY120" t="str">
        <f>HYPERLINK("http://genome.ucsc.edu/cgi-bin/hgTracks?clade=vertebrate&amp;org=Human&amp;db=hg19&amp;position=chr9:2970384-3030384")</f>
        <v>http://genome.ucsc.edu/cgi-bin/hgTracks?clade=vertebrate&amp;org=Human&amp;db=hg19&amp;position=chr9:2970384-3030384</v>
      </c>
      <c r="AZ120" t="s">
        <v>55</v>
      </c>
      <c r="BA120">
        <v>38284</v>
      </c>
    </row>
    <row r="121" spans="1:53" x14ac:dyDescent="0.2">
      <c r="A121" t="s">
        <v>176</v>
      </c>
      <c r="B121" t="s">
        <v>46</v>
      </c>
      <c r="C121">
        <v>3024150</v>
      </c>
      <c r="K121">
        <v>1</v>
      </c>
      <c r="AT121" t="s">
        <v>220</v>
      </c>
      <c r="AU121" t="s">
        <v>221</v>
      </c>
      <c r="AV121" t="s">
        <v>46</v>
      </c>
      <c r="AW121">
        <v>3038668</v>
      </c>
      <c r="AX121">
        <v>3038743</v>
      </c>
      <c r="AY121" t="str">
        <f>HYPERLINK("http://genome.ucsc.edu/cgi-bin/hgTracks?clade=vertebrate&amp;org=Human&amp;db=hg19&amp;position=chr9:2994150-3054150")</f>
        <v>http://genome.ucsc.edu/cgi-bin/hgTracks?clade=vertebrate&amp;org=Human&amp;db=hg19&amp;position=chr9:2994150-3054150</v>
      </c>
      <c r="AZ121" t="s">
        <v>55</v>
      </c>
      <c r="BA121">
        <v>14518</v>
      </c>
    </row>
    <row r="122" spans="1:53" x14ac:dyDescent="0.2">
      <c r="A122" t="s">
        <v>176</v>
      </c>
      <c r="B122" t="s">
        <v>46</v>
      </c>
      <c r="C122">
        <v>98855264</v>
      </c>
      <c r="X122">
        <v>1</v>
      </c>
      <c r="AT122" t="s">
        <v>222</v>
      </c>
      <c r="AU122" t="s">
        <v>223</v>
      </c>
      <c r="AV122" t="s">
        <v>54</v>
      </c>
      <c r="AW122">
        <v>98856590</v>
      </c>
      <c r="AX122">
        <v>98857352</v>
      </c>
      <c r="AY122" t="str">
        <f>HYPERLINK("http://genome.ucsc.edu/cgi-bin/hgTracks?clade=vertebrate&amp;org=Human&amp;db=hg19&amp;position=chr9:98825264-98885264")</f>
        <v>http://genome.ucsc.edu/cgi-bin/hgTracks?clade=vertebrate&amp;org=Human&amp;db=hg19&amp;position=chr9:98825264-98885264</v>
      </c>
      <c r="AZ122" t="s">
        <v>55</v>
      </c>
      <c r="BA122">
        <v>1326</v>
      </c>
    </row>
    <row r="123" spans="1:53" x14ac:dyDescent="0.2">
      <c r="A123" t="s">
        <v>167</v>
      </c>
      <c r="B123" t="s">
        <v>46</v>
      </c>
      <c r="C123">
        <v>56667159</v>
      </c>
      <c r="AG123">
        <v>107</v>
      </c>
      <c r="AH123">
        <v>2</v>
      </c>
      <c r="AT123" t="s">
        <v>168</v>
      </c>
      <c r="AU123" t="s">
        <v>169</v>
      </c>
      <c r="AV123" t="s">
        <v>54</v>
      </c>
      <c r="AW123">
        <v>56609834</v>
      </c>
      <c r="AX123">
        <v>56664230</v>
      </c>
      <c r="AY123" t="str">
        <f>HYPERLINK("http://genome.ucsc.edu/cgi-bin/hgTracks?clade=vertebrate&amp;org=Human&amp;db=hg19&amp;position=chrX:56637159-56697159")</f>
        <v>http://genome.ucsc.edu/cgi-bin/hgTracks?clade=vertebrate&amp;org=Human&amp;db=hg19&amp;position=chrX:56637159-56697159</v>
      </c>
      <c r="AZ123" t="s">
        <v>55</v>
      </c>
      <c r="BA123">
        <v>2929</v>
      </c>
    </row>
    <row r="124" spans="1:53" x14ac:dyDescent="0.2">
      <c r="A124" t="s">
        <v>167</v>
      </c>
      <c r="B124" t="s">
        <v>54</v>
      </c>
      <c r="C124">
        <v>69552123</v>
      </c>
      <c r="G124">
        <v>102</v>
      </c>
      <c r="AT124" t="s">
        <v>170</v>
      </c>
      <c r="AU124" t="s">
        <v>171</v>
      </c>
      <c r="AV124" t="s">
        <v>54</v>
      </c>
      <c r="AW124">
        <v>69360330</v>
      </c>
      <c r="AX124">
        <v>69868037</v>
      </c>
      <c r="AY124" t="str">
        <f>HYPERLINK("http://genome.ucsc.edu/cgi-bin/hgTracks?clade=vertebrate&amp;org=Human&amp;db=hg19&amp;position=chrX:69522123-69582123")</f>
        <v>http://genome.ucsc.edu/cgi-bin/hgTracks?clade=vertebrate&amp;org=Human&amp;db=hg19&amp;position=chrX:69522123-69582123</v>
      </c>
      <c r="AZ124" t="s">
        <v>49</v>
      </c>
      <c r="BA124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Results</vt:lpstr>
      <vt:lpstr>LTR</vt:lpstr>
      <vt:lpstr>by reads</vt:lpstr>
      <vt:lpstr>by counts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Xu, Bingfang (NIH/NCI) [C]</cp:lastModifiedBy>
  <dcterms:created xsi:type="dcterms:W3CDTF">2022-09-30T02:32:00Z</dcterms:created>
  <dcterms:modified xsi:type="dcterms:W3CDTF">2022-09-30T18:37:57Z</dcterms:modified>
</cp:coreProperties>
</file>